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Usaha\Baju\"/>
    </mc:Choice>
  </mc:AlternateContent>
  <xr:revisionPtr revIDLastSave="0" documentId="13_ncr:1_{39C48FEF-38F8-4C16-B943-58A35B9445E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ransaksi" sheetId="6" r:id="rId1"/>
    <sheet name="Stok_Baju" sheetId="3" r:id="rId2"/>
    <sheet name="Dashboard" sheetId="7" r:id="rId3"/>
    <sheet name="belanja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3" l="1"/>
  <c r="I5" i="3"/>
  <c r="I4" i="3"/>
  <c r="I2" i="3"/>
  <c r="N2" i="3"/>
  <c r="O2" i="3"/>
  <c r="F11" i="3"/>
  <c r="H16" i="3"/>
  <c r="H15" i="3"/>
  <c r="H14" i="3"/>
  <c r="H13" i="3"/>
  <c r="H12" i="3"/>
  <c r="H11" i="3"/>
  <c r="H10" i="3"/>
  <c r="H9" i="3"/>
  <c r="H8" i="3"/>
  <c r="H7" i="3"/>
  <c r="H6" i="3"/>
  <c r="H5" i="3"/>
  <c r="K2" i="3" l="1"/>
  <c r="J2" i="3" s="1"/>
  <c r="K3" i="3"/>
  <c r="J3" i="3" s="1"/>
  <c r="K4" i="3"/>
  <c r="J4" i="3" s="1"/>
  <c r="G4" i="3" s="1"/>
  <c r="K5" i="3"/>
  <c r="J5" i="3" s="1"/>
  <c r="K6" i="3"/>
  <c r="J6" i="3" s="1"/>
  <c r="K7" i="3"/>
  <c r="J7" i="3" s="1"/>
  <c r="K8" i="3"/>
  <c r="J8" i="3" s="1"/>
  <c r="K9" i="3"/>
  <c r="J9" i="3" s="1"/>
  <c r="K10" i="3"/>
  <c r="J10" i="3" s="1"/>
  <c r="K11" i="3"/>
  <c r="J11" i="3" s="1"/>
  <c r="K12" i="3"/>
  <c r="J12" i="3" s="1"/>
  <c r="K13" i="3"/>
  <c r="J13" i="3" s="1"/>
  <c r="K14" i="3"/>
  <c r="J14" i="3" s="1"/>
  <c r="K15" i="3"/>
  <c r="J15" i="3" s="1"/>
  <c r="K16" i="3"/>
  <c r="J16" i="3" s="1"/>
  <c r="G114" i="6"/>
  <c r="G115" i="6"/>
  <c r="G116" i="6"/>
  <c r="G117" i="6"/>
  <c r="G118" i="6"/>
  <c r="H118" i="6"/>
  <c r="G119" i="6"/>
  <c r="H119" i="6"/>
  <c r="G120" i="6"/>
  <c r="H120" i="6"/>
  <c r="G121" i="6"/>
  <c r="H121" i="6"/>
  <c r="G122" i="6"/>
  <c r="H122" i="6"/>
  <c r="G123" i="6"/>
  <c r="H123" i="6"/>
  <c r="G124" i="6"/>
  <c r="H124" i="6"/>
  <c r="G125" i="6"/>
  <c r="H125" i="6"/>
  <c r="G126" i="6"/>
  <c r="H126" i="6"/>
  <c r="G127" i="6"/>
  <c r="H127" i="6"/>
  <c r="G128" i="6"/>
  <c r="H128" i="6"/>
  <c r="G129" i="6"/>
  <c r="H129" i="6"/>
  <c r="I129" i="6" s="1"/>
  <c r="G130" i="6"/>
  <c r="I130" i="6" s="1"/>
  <c r="H130" i="6"/>
  <c r="G131" i="6"/>
  <c r="I131" i="6" s="1"/>
  <c r="H131" i="6"/>
  <c r="G132" i="6"/>
  <c r="H132" i="6"/>
  <c r="G133" i="6"/>
  <c r="H133" i="6"/>
  <c r="G134" i="6"/>
  <c r="I134" i="6" s="1"/>
  <c r="H134" i="6"/>
  <c r="G135" i="6"/>
  <c r="I135" i="6" s="1"/>
  <c r="H135" i="6"/>
  <c r="G136" i="6"/>
  <c r="I136" i="6" s="1"/>
  <c r="H136" i="6"/>
  <c r="G137" i="6"/>
  <c r="I137" i="6" s="1"/>
  <c r="H137" i="6"/>
  <c r="G138" i="6"/>
  <c r="H138" i="6"/>
  <c r="G139" i="6"/>
  <c r="H139" i="6"/>
  <c r="G140" i="6"/>
  <c r="H140" i="6"/>
  <c r="G141" i="6"/>
  <c r="I141" i="6" s="1"/>
  <c r="H141" i="6"/>
  <c r="G142" i="6"/>
  <c r="I142" i="6" s="1"/>
  <c r="H142" i="6"/>
  <c r="G143" i="6"/>
  <c r="H143" i="6"/>
  <c r="I143" i="6"/>
  <c r="G144" i="6"/>
  <c r="I144" i="6" s="1"/>
  <c r="H144" i="6"/>
  <c r="G145" i="6"/>
  <c r="I145" i="6" s="1"/>
  <c r="H145" i="6"/>
  <c r="G146" i="6"/>
  <c r="H146" i="6"/>
  <c r="I146" i="6"/>
  <c r="G147" i="6"/>
  <c r="I147" i="6" s="1"/>
  <c r="H147" i="6"/>
  <c r="G148" i="6"/>
  <c r="H148" i="6"/>
  <c r="I148" i="6"/>
  <c r="G149" i="6"/>
  <c r="I149" i="6" s="1"/>
  <c r="H149" i="6"/>
  <c r="G150" i="6"/>
  <c r="H150" i="6"/>
  <c r="I150" i="6"/>
  <c r="G151" i="6"/>
  <c r="I151" i="6" s="1"/>
  <c r="H151" i="6"/>
  <c r="G152" i="6"/>
  <c r="I152" i="6" s="1"/>
  <c r="H152" i="6"/>
  <c r="G153" i="6"/>
  <c r="H153" i="6"/>
  <c r="I153" i="6"/>
  <c r="G154" i="6"/>
  <c r="I154" i="6" s="1"/>
  <c r="H154" i="6"/>
  <c r="G155" i="6"/>
  <c r="H155" i="6"/>
  <c r="I155" i="6"/>
  <c r="G156" i="6"/>
  <c r="I156" i="6" s="1"/>
  <c r="H156" i="6"/>
  <c r="G157" i="6"/>
  <c r="I157" i="6" s="1"/>
  <c r="H157" i="6"/>
  <c r="G158" i="6"/>
  <c r="I158" i="6" s="1"/>
  <c r="H158" i="6"/>
  <c r="G159" i="6"/>
  <c r="H159" i="6"/>
  <c r="I159" i="6"/>
  <c r="G160" i="6"/>
  <c r="H160" i="6"/>
  <c r="I160" i="6"/>
  <c r="G161" i="6"/>
  <c r="H161" i="6"/>
  <c r="I161" i="6"/>
  <c r="G162" i="6"/>
  <c r="H162" i="6"/>
  <c r="I162" i="6"/>
  <c r="G163" i="6"/>
  <c r="I163" i="6" s="1"/>
  <c r="H163" i="6"/>
  <c r="G164" i="6"/>
  <c r="H164" i="6"/>
  <c r="I164" i="6"/>
  <c r="G165" i="6"/>
  <c r="I165" i="6" s="1"/>
  <c r="H165" i="6"/>
  <c r="G166" i="6"/>
  <c r="H166" i="6"/>
  <c r="I166" i="6"/>
  <c r="G167" i="6"/>
  <c r="I167" i="6" s="1"/>
  <c r="H167" i="6"/>
  <c r="G168" i="6"/>
  <c r="I168" i="6" s="1"/>
  <c r="H168" i="6"/>
  <c r="G169" i="6"/>
  <c r="H169" i="6"/>
  <c r="I169" i="6"/>
  <c r="G170" i="6"/>
  <c r="I170" i="6" s="1"/>
  <c r="H170" i="6"/>
  <c r="G171" i="6"/>
  <c r="I171" i="6" s="1"/>
  <c r="H171" i="6"/>
  <c r="G172" i="6"/>
  <c r="I172" i="6" s="1"/>
  <c r="H172" i="6"/>
  <c r="G173" i="6"/>
  <c r="I173" i="6" s="1"/>
  <c r="H173" i="6"/>
  <c r="G174" i="6"/>
  <c r="H174" i="6"/>
  <c r="I174" i="6"/>
  <c r="G175" i="6"/>
  <c r="H175" i="6"/>
  <c r="I175" i="6"/>
  <c r="G176" i="6"/>
  <c r="I176" i="6" s="1"/>
  <c r="H176" i="6"/>
  <c r="G177" i="6"/>
  <c r="I177" i="6" s="1"/>
  <c r="H177" i="6"/>
  <c r="G178" i="6"/>
  <c r="H178" i="6"/>
  <c r="I178" i="6"/>
  <c r="G179" i="6"/>
  <c r="I179" i="6" s="1"/>
  <c r="H179" i="6"/>
  <c r="G180" i="6"/>
  <c r="H180" i="6"/>
  <c r="I180" i="6"/>
  <c r="G181" i="6"/>
  <c r="I181" i="6" s="1"/>
  <c r="H181" i="6"/>
  <c r="G182" i="6"/>
  <c r="I182" i="6" s="1"/>
  <c r="H182" i="6"/>
  <c r="G183" i="6"/>
  <c r="I183" i="6" s="1"/>
  <c r="H183" i="6"/>
  <c r="G184" i="6"/>
  <c r="I184" i="6" s="1"/>
  <c r="H184" i="6"/>
  <c r="G185" i="6"/>
  <c r="H185" i="6"/>
  <c r="I185" i="6"/>
  <c r="G186" i="6"/>
  <c r="I186" i="6" s="1"/>
  <c r="H186" i="6"/>
  <c r="G187" i="6"/>
  <c r="I187" i="6" s="1"/>
  <c r="H187" i="6"/>
  <c r="G188" i="6"/>
  <c r="I188" i="6" s="1"/>
  <c r="H188" i="6"/>
  <c r="G189" i="6"/>
  <c r="I189" i="6" s="1"/>
  <c r="H189" i="6"/>
  <c r="G190" i="6"/>
  <c r="I190" i="6" s="1"/>
  <c r="H190" i="6"/>
  <c r="G191" i="6"/>
  <c r="H191" i="6"/>
  <c r="I191" i="6"/>
  <c r="G192" i="6"/>
  <c r="H192" i="6"/>
  <c r="I192" i="6"/>
  <c r="G193" i="6"/>
  <c r="I193" i="6" s="1"/>
  <c r="H193" i="6"/>
  <c r="G194" i="6"/>
  <c r="H194" i="6"/>
  <c r="I194" i="6"/>
  <c r="G195" i="6"/>
  <c r="I195" i="6" s="1"/>
  <c r="H195" i="6"/>
  <c r="G196" i="6"/>
  <c r="H196" i="6"/>
  <c r="I196" i="6"/>
  <c r="G197" i="6"/>
  <c r="I197" i="6" s="1"/>
  <c r="H197" i="6"/>
  <c r="G198" i="6"/>
  <c r="H198" i="6"/>
  <c r="I198" i="6"/>
  <c r="G199" i="6"/>
  <c r="I199" i="6" s="1"/>
  <c r="H199" i="6"/>
  <c r="G200" i="6"/>
  <c r="I200" i="6" s="1"/>
  <c r="H200" i="6"/>
  <c r="G201" i="6"/>
  <c r="I201" i="6" s="1"/>
  <c r="H201" i="6"/>
  <c r="G202" i="6"/>
  <c r="I202" i="6" s="1"/>
  <c r="H202" i="6"/>
  <c r="G203" i="6"/>
  <c r="I203" i="6" s="1"/>
  <c r="H203" i="6"/>
  <c r="G204" i="6"/>
  <c r="I204" i="6" s="1"/>
  <c r="H204" i="6"/>
  <c r="G205" i="6"/>
  <c r="I205" i="6" s="1"/>
  <c r="H205" i="6"/>
  <c r="G206" i="6"/>
  <c r="I206" i="6" s="1"/>
  <c r="H206" i="6"/>
  <c r="G207" i="6"/>
  <c r="H207" i="6"/>
  <c r="I207" i="6"/>
  <c r="G208" i="6"/>
  <c r="H208" i="6"/>
  <c r="I208" i="6"/>
  <c r="G209" i="6"/>
  <c r="I209" i="6" s="1"/>
  <c r="H209" i="6"/>
  <c r="G210" i="6"/>
  <c r="I210" i="6" s="1"/>
  <c r="H210" i="6"/>
  <c r="G211" i="6"/>
  <c r="I211" i="6" s="1"/>
  <c r="H211" i="6"/>
  <c r="G212" i="6"/>
  <c r="H212" i="6"/>
  <c r="I212" i="6"/>
  <c r="G213" i="6"/>
  <c r="I213" i="6" s="1"/>
  <c r="H213" i="6"/>
  <c r="G214" i="6"/>
  <c r="H214" i="6"/>
  <c r="I214" i="6"/>
  <c r="G215" i="6"/>
  <c r="I215" i="6" s="1"/>
  <c r="H215" i="6"/>
  <c r="G216" i="6"/>
  <c r="I216" i="6" s="1"/>
  <c r="H216" i="6"/>
  <c r="G217" i="6"/>
  <c r="H217" i="6"/>
  <c r="I217" i="6"/>
  <c r="G218" i="6"/>
  <c r="I218" i="6" s="1"/>
  <c r="H218" i="6"/>
  <c r="G219" i="6"/>
  <c r="H219" i="6"/>
  <c r="I219" i="6"/>
  <c r="G220" i="6"/>
  <c r="I220" i="6" s="1"/>
  <c r="H220" i="6"/>
  <c r="G221" i="6"/>
  <c r="I221" i="6" s="1"/>
  <c r="H221" i="6"/>
  <c r="G222" i="6"/>
  <c r="I222" i="6" s="1"/>
  <c r="H222" i="6"/>
  <c r="G223" i="6"/>
  <c r="I223" i="6" s="1"/>
  <c r="H223" i="6"/>
  <c r="G224" i="6"/>
  <c r="H224" i="6"/>
  <c r="I224" i="6"/>
  <c r="G225" i="6"/>
  <c r="H225" i="6"/>
  <c r="I225" i="6"/>
  <c r="G226" i="6"/>
  <c r="I226" i="6" s="1"/>
  <c r="H226" i="6"/>
  <c r="G227" i="6"/>
  <c r="I227" i="6" s="1"/>
  <c r="H227" i="6"/>
  <c r="G228" i="6"/>
  <c r="H228" i="6"/>
  <c r="I228" i="6"/>
  <c r="G229" i="6"/>
  <c r="I229" i="6" s="1"/>
  <c r="H229" i="6"/>
  <c r="G230" i="6"/>
  <c r="H230" i="6"/>
  <c r="I230" i="6"/>
  <c r="G231" i="6"/>
  <c r="I231" i="6" s="1"/>
  <c r="H231" i="6"/>
  <c r="G232" i="6"/>
  <c r="I232" i="6" s="1"/>
  <c r="H232" i="6"/>
  <c r="G233" i="6"/>
  <c r="H233" i="6"/>
  <c r="I233" i="6"/>
  <c r="G234" i="6"/>
  <c r="I234" i="6" s="1"/>
  <c r="H234" i="6"/>
  <c r="G235" i="6"/>
  <c r="H235" i="6"/>
  <c r="I235" i="6"/>
  <c r="G236" i="6"/>
  <c r="I236" i="6" s="1"/>
  <c r="H236" i="6"/>
  <c r="G237" i="6"/>
  <c r="I237" i="6" s="1"/>
  <c r="H237" i="6"/>
  <c r="G238" i="6"/>
  <c r="I238" i="6" s="1"/>
  <c r="H238" i="6"/>
  <c r="G239" i="6"/>
  <c r="I239" i="6" s="1"/>
  <c r="H239" i="6"/>
  <c r="G240" i="6"/>
  <c r="I240" i="6" s="1"/>
  <c r="H240" i="6"/>
  <c r="G241" i="6"/>
  <c r="H241" i="6"/>
  <c r="I241" i="6"/>
  <c r="G242" i="6"/>
  <c r="H242" i="6"/>
  <c r="I242" i="6"/>
  <c r="G243" i="6"/>
  <c r="I243" i="6" s="1"/>
  <c r="H243" i="6"/>
  <c r="G244" i="6"/>
  <c r="H244" i="6"/>
  <c r="I244" i="6"/>
  <c r="G245" i="6"/>
  <c r="I245" i="6" s="1"/>
  <c r="H245" i="6"/>
  <c r="G246" i="6"/>
  <c r="H246" i="6"/>
  <c r="I246" i="6"/>
  <c r="G247" i="6"/>
  <c r="I247" i="6" s="1"/>
  <c r="H247" i="6"/>
  <c r="G248" i="6"/>
  <c r="I248" i="6" s="1"/>
  <c r="H248" i="6"/>
  <c r="G249" i="6"/>
  <c r="H249" i="6"/>
  <c r="I249" i="6"/>
  <c r="G250" i="6"/>
  <c r="I250" i="6" s="1"/>
  <c r="H250" i="6"/>
  <c r="G251" i="6"/>
  <c r="I251" i="6" s="1"/>
  <c r="H251" i="6"/>
  <c r="G252" i="6"/>
  <c r="I252" i="6" s="1"/>
  <c r="H252" i="6"/>
  <c r="G253" i="6"/>
  <c r="I253" i="6" s="1"/>
  <c r="H253" i="6"/>
  <c r="G254" i="6"/>
  <c r="I254" i="6" s="1"/>
  <c r="H254" i="6"/>
  <c r="G255" i="6"/>
  <c r="H255" i="6"/>
  <c r="I255" i="6"/>
  <c r="G256" i="6"/>
  <c r="I256" i="6" s="1"/>
  <c r="H256" i="6"/>
  <c r="G257" i="6"/>
  <c r="H257" i="6"/>
  <c r="I257" i="6"/>
  <c r="G258" i="6"/>
  <c r="I258" i="6" s="1"/>
  <c r="H258" i="6"/>
  <c r="G259" i="6"/>
  <c r="I259" i="6" s="1"/>
  <c r="H259" i="6"/>
  <c r="G260" i="6"/>
  <c r="H260" i="6"/>
  <c r="I260" i="6"/>
  <c r="G261" i="6"/>
  <c r="I261" i="6" s="1"/>
  <c r="H261" i="6"/>
  <c r="G262" i="6"/>
  <c r="I262" i="6" s="1"/>
  <c r="H262" i="6"/>
  <c r="G263" i="6"/>
  <c r="I263" i="6" s="1"/>
  <c r="H263" i="6"/>
  <c r="G264" i="6"/>
  <c r="I264" i="6" s="1"/>
  <c r="H264" i="6"/>
  <c r="G265" i="6"/>
  <c r="I265" i="6" s="1"/>
  <c r="H265" i="6"/>
  <c r="G266" i="6"/>
  <c r="H266" i="6"/>
  <c r="I266" i="6"/>
  <c r="G267" i="6"/>
  <c r="I267" i="6" s="1"/>
  <c r="H267" i="6"/>
  <c r="G268" i="6"/>
  <c r="I268" i="6" s="1"/>
  <c r="H268" i="6"/>
  <c r="G269" i="6"/>
  <c r="I269" i="6" s="1"/>
  <c r="H269" i="6"/>
  <c r="G270" i="6"/>
  <c r="I270" i="6" s="1"/>
  <c r="H270" i="6"/>
  <c r="G271" i="6"/>
  <c r="I271" i="6" s="1"/>
  <c r="H271" i="6"/>
  <c r="G272" i="6"/>
  <c r="I272" i="6" s="1"/>
  <c r="H272" i="6"/>
  <c r="G273" i="6"/>
  <c r="H273" i="6"/>
  <c r="I273" i="6"/>
  <c r="G274" i="6"/>
  <c r="H274" i="6"/>
  <c r="I274" i="6"/>
  <c r="G275" i="6"/>
  <c r="I275" i="6" s="1"/>
  <c r="H275" i="6"/>
  <c r="G276" i="6"/>
  <c r="I276" i="6" s="1"/>
  <c r="H276" i="6"/>
  <c r="G277" i="6"/>
  <c r="I277" i="6" s="1"/>
  <c r="H277" i="6"/>
  <c r="G278" i="6"/>
  <c r="I278" i="6" s="1"/>
  <c r="H278" i="6"/>
  <c r="G279" i="6"/>
  <c r="I279" i="6" s="1"/>
  <c r="H279" i="6"/>
  <c r="G280" i="6"/>
  <c r="I280" i="6" s="1"/>
  <c r="H280" i="6"/>
  <c r="G281" i="6"/>
  <c r="I281" i="6" s="1"/>
  <c r="H281" i="6"/>
  <c r="G282" i="6"/>
  <c r="H282" i="6"/>
  <c r="I282" i="6"/>
  <c r="G283" i="6"/>
  <c r="I283" i="6" s="1"/>
  <c r="H283" i="6"/>
  <c r="G284" i="6"/>
  <c r="I284" i="6" s="1"/>
  <c r="H284" i="6"/>
  <c r="G285" i="6"/>
  <c r="I285" i="6" s="1"/>
  <c r="H285" i="6"/>
  <c r="G286" i="6"/>
  <c r="I286" i="6" s="1"/>
  <c r="H286" i="6"/>
  <c r="G287" i="6"/>
  <c r="H287" i="6"/>
  <c r="I287" i="6"/>
  <c r="G288" i="6"/>
  <c r="H288" i="6"/>
  <c r="I288" i="6"/>
  <c r="G289" i="6"/>
  <c r="I289" i="6" s="1"/>
  <c r="H289" i="6"/>
  <c r="G290" i="6"/>
  <c r="H290" i="6"/>
  <c r="I290" i="6"/>
  <c r="G291" i="6"/>
  <c r="I291" i="6" s="1"/>
  <c r="H291" i="6"/>
  <c r="G292" i="6"/>
  <c r="H292" i="6"/>
  <c r="I292" i="6"/>
  <c r="G293" i="6"/>
  <c r="I293" i="6" s="1"/>
  <c r="H293" i="6"/>
  <c r="G294" i="6"/>
  <c r="H294" i="6"/>
  <c r="I294" i="6"/>
  <c r="G295" i="6"/>
  <c r="I295" i="6" s="1"/>
  <c r="H295" i="6"/>
  <c r="G296" i="6"/>
  <c r="I296" i="6" s="1"/>
  <c r="H296" i="6"/>
  <c r="G297" i="6"/>
  <c r="I297" i="6" s="1"/>
  <c r="H297" i="6"/>
  <c r="G298" i="6"/>
  <c r="H298" i="6"/>
  <c r="I298" i="6"/>
  <c r="G299" i="6"/>
  <c r="H299" i="6"/>
  <c r="I299" i="6"/>
  <c r="G300" i="6"/>
  <c r="I300" i="6" s="1"/>
  <c r="H300" i="6"/>
  <c r="G301" i="6"/>
  <c r="I301" i="6" s="1"/>
  <c r="H301" i="6"/>
  <c r="G302" i="6"/>
  <c r="I302" i="6" s="1"/>
  <c r="H302" i="6"/>
  <c r="G303" i="6"/>
  <c r="H303" i="6"/>
  <c r="I303" i="6"/>
  <c r="G304" i="6"/>
  <c r="H304" i="6"/>
  <c r="I304" i="6"/>
  <c r="G305" i="6"/>
  <c r="H305" i="6"/>
  <c r="I305" i="6"/>
  <c r="G306" i="6"/>
  <c r="H306" i="6"/>
  <c r="I306" i="6"/>
  <c r="G307" i="6"/>
  <c r="I307" i="6" s="1"/>
  <c r="H307" i="6"/>
  <c r="G308" i="6"/>
  <c r="I308" i="6" s="1"/>
  <c r="H308" i="6"/>
  <c r="G309" i="6"/>
  <c r="I309" i="6" s="1"/>
  <c r="H309" i="6"/>
  <c r="G310" i="6"/>
  <c r="H310" i="6"/>
  <c r="I310" i="6"/>
  <c r="G311" i="6"/>
  <c r="I311" i="6" s="1"/>
  <c r="H311" i="6"/>
  <c r="G312" i="6"/>
  <c r="I312" i="6" s="1"/>
  <c r="H312" i="6"/>
  <c r="G313" i="6"/>
  <c r="H313" i="6"/>
  <c r="I313" i="6"/>
  <c r="G314" i="6"/>
  <c r="I314" i="6" s="1"/>
  <c r="H314" i="6"/>
  <c r="G315" i="6"/>
  <c r="H315" i="6"/>
  <c r="I315" i="6"/>
  <c r="G316" i="6"/>
  <c r="I316" i="6" s="1"/>
  <c r="H316" i="6"/>
  <c r="G317" i="6"/>
  <c r="I317" i="6" s="1"/>
  <c r="H317" i="6"/>
  <c r="G318" i="6"/>
  <c r="I318" i="6" s="1"/>
  <c r="H318" i="6"/>
  <c r="G319" i="6"/>
  <c r="H319" i="6"/>
  <c r="I319" i="6"/>
  <c r="G320" i="6"/>
  <c r="I320" i="6" s="1"/>
  <c r="H320" i="6"/>
  <c r="G321" i="6"/>
  <c r="I321" i="6" s="1"/>
  <c r="H321" i="6"/>
  <c r="G322" i="6"/>
  <c r="H322" i="6"/>
  <c r="I322" i="6"/>
  <c r="G323" i="6"/>
  <c r="I323" i="6" s="1"/>
  <c r="H323" i="6"/>
  <c r="G324" i="6"/>
  <c r="H324" i="6"/>
  <c r="I324" i="6"/>
  <c r="G325" i="6"/>
  <c r="I325" i="6" s="1"/>
  <c r="H325" i="6"/>
  <c r="G326" i="6"/>
  <c r="I326" i="6" s="1"/>
  <c r="H326" i="6"/>
  <c r="G327" i="6"/>
  <c r="I327" i="6" s="1"/>
  <c r="H327" i="6"/>
  <c r="G328" i="6"/>
  <c r="I328" i="6" s="1"/>
  <c r="H328" i="6"/>
  <c r="G329" i="6"/>
  <c r="H329" i="6"/>
  <c r="I329" i="6"/>
  <c r="G330" i="6"/>
  <c r="H330" i="6"/>
  <c r="I330" i="6"/>
  <c r="G331" i="6"/>
  <c r="H331" i="6"/>
  <c r="I331" i="6"/>
  <c r="G332" i="6"/>
  <c r="I332" i="6" s="1"/>
  <c r="H332" i="6"/>
  <c r="G333" i="6"/>
  <c r="I333" i="6" s="1"/>
  <c r="H333" i="6"/>
  <c r="G334" i="6"/>
  <c r="I334" i="6" s="1"/>
  <c r="H334" i="6"/>
  <c r="G335" i="6"/>
  <c r="H335" i="6"/>
  <c r="I335" i="6"/>
  <c r="G336" i="6"/>
  <c r="H336" i="6"/>
  <c r="I336" i="6"/>
  <c r="G337" i="6"/>
  <c r="I337" i="6" s="1"/>
  <c r="H337" i="6"/>
  <c r="G338" i="6"/>
  <c r="H338" i="6"/>
  <c r="I338" i="6"/>
  <c r="G113" i="6"/>
  <c r="G112" i="6"/>
  <c r="G111" i="6"/>
  <c r="G110" i="6"/>
  <c r="G109" i="6"/>
  <c r="G108" i="6"/>
  <c r="G107" i="6"/>
  <c r="G106" i="6"/>
  <c r="G105" i="6"/>
  <c r="G104" i="6"/>
  <c r="G103" i="6"/>
  <c r="G102" i="6"/>
  <c r="G101" i="6"/>
  <c r="G100" i="6"/>
  <c r="G99" i="6"/>
  <c r="G98" i="6"/>
  <c r="G97" i="6"/>
  <c r="G96" i="6"/>
  <c r="G95" i="6"/>
  <c r="G94" i="6"/>
  <c r="G93" i="6"/>
  <c r="G92" i="6"/>
  <c r="G91" i="6"/>
  <c r="G90" i="6"/>
  <c r="G89" i="6"/>
  <c r="G88" i="6"/>
  <c r="G87" i="6"/>
  <c r="G86" i="6"/>
  <c r="G85" i="6"/>
  <c r="G84" i="6"/>
  <c r="G83" i="6"/>
  <c r="G82" i="6"/>
  <c r="G81" i="6"/>
  <c r="G80" i="6"/>
  <c r="G79" i="6"/>
  <c r="G78" i="6"/>
  <c r="G77" i="6"/>
  <c r="G76" i="6"/>
  <c r="G75" i="6"/>
  <c r="G74" i="6"/>
  <c r="G73" i="6"/>
  <c r="G72" i="6"/>
  <c r="G71" i="6"/>
  <c r="G70" i="6"/>
  <c r="G69" i="6"/>
  <c r="G68" i="6"/>
  <c r="G67" i="6"/>
  <c r="G66" i="6"/>
  <c r="G65" i="6"/>
  <c r="G64" i="6"/>
  <c r="G63" i="6"/>
  <c r="G62" i="6"/>
  <c r="G61" i="6"/>
  <c r="G60" i="6"/>
  <c r="G59" i="6"/>
  <c r="G58" i="6"/>
  <c r="G57" i="6"/>
  <c r="G56" i="6"/>
  <c r="G55" i="6"/>
  <c r="G54" i="6"/>
  <c r="G53" i="6"/>
  <c r="G52" i="6"/>
  <c r="G51" i="6"/>
  <c r="G50" i="6"/>
  <c r="G49" i="6"/>
  <c r="G48" i="6"/>
  <c r="G47" i="6"/>
  <c r="G46" i="6"/>
  <c r="G45" i="6"/>
  <c r="G44" i="6"/>
  <c r="G43" i="6"/>
  <c r="G42" i="6"/>
  <c r="G41" i="6"/>
  <c r="G40" i="6"/>
  <c r="G39" i="6"/>
  <c r="G38" i="6"/>
  <c r="G37" i="6"/>
  <c r="G36" i="6"/>
  <c r="G35" i="6"/>
  <c r="G34" i="6"/>
  <c r="G33" i="6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G4" i="6"/>
  <c r="G3" i="6"/>
  <c r="G2" i="6"/>
  <c r="N3" i="3" l="1"/>
  <c r="I139" i="6"/>
  <c r="I123" i="6"/>
  <c r="I122" i="6"/>
  <c r="I121" i="6"/>
  <c r="I128" i="6"/>
  <c r="I120" i="6"/>
  <c r="I127" i="6"/>
  <c r="I119" i="6"/>
  <c r="I126" i="6"/>
  <c r="I118" i="6"/>
  <c r="I133" i="6"/>
  <c r="I125" i="6"/>
  <c r="I140" i="6"/>
  <c r="I132" i="6"/>
  <c r="I138" i="6"/>
  <c r="O3" i="3"/>
  <c r="G2" i="3"/>
  <c r="L2" i="3" s="1"/>
  <c r="G3" i="5" s="1"/>
  <c r="I124" i="6"/>
  <c r="K2" i="6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E16" i="3" s="1"/>
  <c r="D3" i="5"/>
  <c r="F17" i="5"/>
  <c r="I16" i="5"/>
  <c r="F16" i="5"/>
  <c r="H15" i="5"/>
  <c r="I15" i="5" s="1"/>
  <c r="F15" i="5"/>
  <c r="H14" i="5"/>
  <c r="C13" i="3" s="1"/>
  <c r="D13" i="3" s="1"/>
  <c r="F14" i="5"/>
  <c r="H13" i="5"/>
  <c r="I13" i="5" s="1"/>
  <c r="F13" i="5"/>
  <c r="H12" i="5"/>
  <c r="I12" i="5" s="1"/>
  <c r="F12" i="5"/>
  <c r="H11" i="5"/>
  <c r="I11" i="5" s="1"/>
  <c r="F11" i="5"/>
  <c r="H10" i="5"/>
  <c r="I10" i="5" s="1"/>
  <c r="F10" i="5"/>
  <c r="H9" i="5"/>
  <c r="C8" i="3" s="1"/>
  <c r="D8" i="3" s="1"/>
  <c r="F9" i="5"/>
  <c r="H8" i="5"/>
  <c r="I8" i="5" s="1"/>
  <c r="F8" i="5"/>
  <c r="H7" i="5"/>
  <c r="I7" i="5" s="1"/>
  <c r="F7" i="5"/>
  <c r="H6" i="5"/>
  <c r="I6" i="5" s="1"/>
  <c r="F6" i="5"/>
  <c r="H5" i="5"/>
  <c r="I5" i="5" s="1"/>
  <c r="F5" i="5"/>
  <c r="H4" i="5"/>
  <c r="C3" i="3" s="1"/>
  <c r="D3" i="3" s="1"/>
  <c r="H114" i="6" s="1"/>
  <c r="I114" i="6" s="1"/>
  <c r="F4" i="5"/>
  <c r="H3" i="5"/>
  <c r="C2" i="3" s="1"/>
  <c r="D2" i="3" s="1"/>
  <c r="H116" i="6" s="1"/>
  <c r="I116" i="6" s="1"/>
  <c r="F3" i="5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D16" i="3"/>
  <c r="D15" i="3"/>
  <c r="H16" i="6" l="1"/>
  <c r="I16" i="6" s="1"/>
  <c r="H92" i="6"/>
  <c r="I92" i="6" s="1"/>
  <c r="H59" i="6"/>
  <c r="I59" i="6" s="1"/>
  <c r="H24" i="6"/>
  <c r="I24" i="6" s="1"/>
  <c r="H81" i="6"/>
  <c r="I81" i="6" s="1"/>
  <c r="H46" i="6"/>
  <c r="I46" i="6" s="1"/>
  <c r="H32" i="6"/>
  <c r="I32" i="6" s="1"/>
  <c r="H37" i="6"/>
  <c r="I37" i="6" s="1"/>
  <c r="H85" i="6"/>
  <c r="I85" i="6" s="1"/>
  <c r="H21" i="6"/>
  <c r="I21" i="6" s="1"/>
  <c r="H96" i="6"/>
  <c r="I96" i="6" s="1"/>
  <c r="H54" i="6"/>
  <c r="I54" i="6" s="1"/>
  <c r="H9" i="6"/>
  <c r="I9" i="6" s="1"/>
  <c r="H53" i="6"/>
  <c r="I53" i="6" s="1"/>
  <c r="H97" i="6"/>
  <c r="I97" i="6" s="1"/>
  <c r="H76" i="6"/>
  <c r="I76" i="6" s="1"/>
  <c r="H106" i="6"/>
  <c r="I106" i="6" s="1"/>
  <c r="H113" i="6"/>
  <c r="I113" i="6" s="1"/>
  <c r="H86" i="6"/>
  <c r="I86" i="6" s="1"/>
  <c r="H31" i="6"/>
  <c r="I31" i="6" s="1"/>
  <c r="H63" i="6"/>
  <c r="I63" i="6" s="1"/>
  <c r="H98" i="6"/>
  <c r="H55" i="6"/>
  <c r="I55" i="6" s="1"/>
  <c r="H10" i="6"/>
  <c r="H77" i="6"/>
  <c r="I77" i="6" s="1"/>
  <c r="H3" i="6"/>
  <c r="I3" i="6" s="1"/>
  <c r="H56" i="6"/>
  <c r="I56" i="6" s="1"/>
  <c r="H39" i="6"/>
  <c r="I39" i="6" s="1"/>
  <c r="H66" i="6"/>
  <c r="I66" i="6" s="1"/>
  <c r="H25" i="6"/>
  <c r="I25" i="6" s="1"/>
  <c r="H7" i="6"/>
  <c r="I7" i="6" s="1"/>
  <c r="H40" i="6"/>
  <c r="I40" i="6" s="1"/>
  <c r="H33" i="6"/>
  <c r="I33" i="6" s="1"/>
  <c r="H104" i="6"/>
  <c r="I104" i="6" s="1"/>
  <c r="H65" i="6"/>
  <c r="I65" i="6" s="1"/>
  <c r="H22" i="6"/>
  <c r="I22" i="6" s="1"/>
  <c r="H87" i="6"/>
  <c r="I87" i="6" s="1"/>
  <c r="H78" i="6"/>
  <c r="I78" i="6" s="1"/>
  <c r="H6" i="6"/>
  <c r="I6" i="6" s="1"/>
  <c r="H41" i="6"/>
  <c r="I41" i="6" s="1"/>
  <c r="H99" i="6"/>
  <c r="I99" i="6" s="1"/>
  <c r="H26" i="6"/>
  <c r="I26" i="6" s="1"/>
  <c r="H67" i="6"/>
  <c r="I67" i="6" s="1"/>
  <c r="H11" i="6"/>
  <c r="I11" i="6" s="1"/>
  <c r="H105" i="6"/>
  <c r="I105" i="6" s="1"/>
  <c r="H51" i="6"/>
  <c r="I51" i="6" s="1"/>
  <c r="H5" i="6"/>
  <c r="I5" i="6" s="1"/>
  <c r="H83" i="6"/>
  <c r="I83" i="6" s="1"/>
  <c r="H19" i="6"/>
  <c r="I19" i="6" s="1"/>
  <c r="H74" i="6"/>
  <c r="I74" i="6" s="1"/>
  <c r="H103" i="6"/>
  <c r="I103" i="6" s="1"/>
  <c r="C11" i="3"/>
  <c r="D11" i="3" s="1"/>
  <c r="C12" i="3"/>
  <c r="D12" i="3" s="1"/>
  <c r="C5" i="3"/>
  <c r="D5" i="3" s="1"/>
  <c r="H117" i="6" s="1"/>
  <c r="I117" i="6" s="1"/>
  <c r="C10" i="3"/>
  <c r="D10" i="3" s="1"/>
  <c r="C9" i="3"/>
  <c r="D9" i="3" s="1"/>
  <c r="H115" i="6" s="1"/>
  <c r="I115" i="6" s="1"/>
  <c r="I4" i="5"/>
  <c r="C14" i="3"/>
  <c r="D14" i="3" s="1"/>
  <c r="I9" i="5"/>
  <c r="I14" i="5"/>
  <c r="I3" i="5"/>
  <c r="C4" i="3"/>
  <c r="D4" i="3" s="1"/>
  <c r="C6" i="3"/>
  <c r="D6" i="3" s="1"/>
  <c r="C7" i="3"/>
  <c r="D7" i="3" s="1"/>
  <c r="I10" i="6" l="1"/>
  <c r="I98" i="6"/>
  <c r="H30" i="6"/>
  <c r="I30" i="6" s="1"/>
  <c r="H15" i="6"/>
  <c r="I15" i="6" s="1"/>
  <c r="H91" i="6"/>
  <c r="I91" i="6" s="1"/>
  <c r="H71" i="6"/>
  <c r="I71" i="6" s="1"/>
  <c r="H111" i="6"/>
  <c r="I111" i="6" s="1"/>
  <c r="H45" i="6"/>
  <c r="I45" i="6" s="1"/>
  <c r="H101" i="6"/>
  <c r="I101" i="6" s="1"/>
  <c r="H44" i="6"/>
  <c r="I44" i="6" s="1"/>
  <c r="H109" i="6"/>
  <c r="I109" i="6" s="1"/>
  <c r="H36" i="6"/>
  <c r="I36" i="6" s="1"/>
  <c r="H14" i="6"/>
  <c r="I14" i="6" s="1"/>
  <c r="H60" i="6"/>
  <c r="I60" i="6" s="1"/>
  <c r="H70" i="6"/>
  <c r="I70" i="6" s="1"/>
  <c r="H90" i="6"/>
  <c r="I90" i="6" s="1"/>
  <c r="H108" i="6"/>
  <c r="I108" i="6" s="1"/>
  <c r="H79" i="6"/>
  <c r="I79" i="6" s="1"/>
  <c r="H27" i="6"/>
  <c r="I27" i="6" s="1"/>
  <c r="H57" i="6"/>
  <c r="I57" i="6" s="1"/>
  <c r="H64" i="6"/>
  <c r="I64" i="6" s="1"/>
  <c r="H42" i="6"/>
  <c r="I42" i="6" s="1"/>
  <c r="H34" i="6"/>
  <c r="I34" i="6" s="1"/>
  <c r="H62" i="6"/>
  <c r="I62" i="6" s="1"/>
  <c r="H68" i="6"/>
  <c r="I68" i="6" s="1"/>
  <c r="H8" i="6"/>
  <c r="I8" i="6" s="1"/>
  <c r="H12" i="6"/>
  <c r="I12" i="6" s="1"/>
  <c r="H88" i="6"/>
  <c r="I88" i="6" s="1"/>
  <c r="H93" i="6"/>
  <c r="I93" i="6" s="1"/>
  <c r="H112" i="6"/>
  <c r="I112" i="6" s="1"/>
  <c r="H2" i="6"/>
  <c r="H28" i="6"/>
  <c r="I28" i="6" s="1"/>
  <c r="H47" i="6"/>
  <c r="I47" i="6" s="1"/>
  <c r="H82" i="6"/>
  <c r="I82" i="6" s="1"/>
  <c r="H48" i="6"/>
  <c r="I48" i="6" s="1"/>
  <c r="H102" i="6"/>
  <c r="I102" i="6" s="1"/>
  <c r="H107" i="6"/>
  <c r="I107" i="6" s="1"/>
  <c r="H58" i="6"/>
  <c r="I58" i="6" s="1"/>
  <c r="H43" i="6"/>
  <c r="I43" i="6" s="1"/>
  <c r="H29" i="6"/>
  <c r="I29" i="6" s="1"/>
  <c r="H110" i="6"/>
  <c r="I110" i="6" s="1"/>
  <c r="H23" i="6"/>
  <c r="I23" i="6" s="1"/>
  <c r="H35" i="6"/>
  <c r="I35" i="6" s="1"/>
  <c r="H69" i="6"/>
  <c r="I69" i="6" s="1"/>
  <c r="H13" i="6"/>
  <c r="I13" i="6" s="1"/>
  <c r="H89" i="6"/>
  <c r="I89" i="6" s="1"/>
  <c r="H80" i="6"/>
  <c r="I80" i="6" s="1"/>
  <c r="H100" i="6"/>
  <c r="I100" i="6" s="1"/>
  <c r="H84" i="6"/>
  <c r="I84" i="6" s="1"/>
  <c r="H52" i="6"/>
  <c r="I52" i="6" s="1"/>
  <c r="H20" i="6"/>
  <c r="I20" i="6" s="1"/>
  <c r="H75" i="6"/>
  <c r="I75" i="6" s="1"/>
  <c r="H38" i="6"/>
  <c r="I38" i="6" s="1"/>
  <c r="H50" i="6"/>
  <c r="I50" i="6" s="1"/>
  <c r="H49" i="6"/>
  <c r="I49" i="6" s="1"/>
  <c r="H95" i="6"/>
  <c r="I95" i="6" s="1"/>
  <c r="H18" i="6"/>
  <c r="I18" i="6" s="1"/>
  <c r="H73" i="6"/>
  <c r="I73" i="6" s="1"/>
  <c r="H72" i="6"/>
  <c r="I72" i="6" s="1"/>
  <c r="H4" i="6"/>
  <c r="I4" i="6" s="1"/>
  <c r="H61" i="6"/>
  <c r="I61" i="6" s="1"/>
  <c r="H17" i="6"/>
  <c r="I17" i="6" s="1"/>
  <c r="H94" i="6"/>
  <c r="I94" i="6" s="1"/>
  <c r="J3" i="5"/>
  <c r="P3" i="3" l="1"/>
  <c r="P2" i="3"/>
  <c r="I2" i="6"/>
  <c r="J2" i="6"/>
  <c r="L2" i="6" s="1"/>
  <c r="G14" i="3" l="1"/>
  <c r="L14" i="3" s="1"/>
  <c r="G15" i="5" s="1"/>
  <c r="G8" i="3"/>
  <c r="L8" i="3" s="1"/>
  <c r="G9" i="5" s="1"/>
  <c r="G10" i="3"/>
  <c r="L10" i="3" s="1"/>
  <c r="G11" i="5" s="1"/>
  <c r="G7" i="3"/>
  <c r="L7" i="3" s="1"/>
  <c r="G8" i="5" s="1"/>
  <c r="L4" i="3"/>
  <c r="G5" i="5" s="1"/>
  <c r="G15" i="3"/>
  <c r="L15" i="3" s="1"/>
  <c r="G16" i="5" s="1"/>
  <c r="G5" i="3"/>
  <c r="L5" i="3" s="1"/>
  <c r="G6" i="5" s="1"/>
  <c r="G9" i="3"/>
  <c r="L9" i="3" s="1"/>
  <c r="G10" i="5" s="1"/>
  <c r="G6" i="3"/>
  <c r="L6" i="3" s="1"/>
  <c r="G7" i="5" s="1"/>
  <c r="G3" i="3"/>
  <c r="L3" i="3" s="1"/>
  <c r="G4" i="5" s="1"/>
  <c r="G13" i="3"/>
  <c r="L13" i="3" s="1"/>
  <c r="G14" i="5" s="1"/>
  <c r="G16" i="3"/>
  <c r="L16" i="3" s="1"/>
  <c r="G12" i="3"/>
  <c r="L12" i="3" s="1"/>
  <c r="G13" i="5" s="1"/>
  <c r="G11" i="3"/>
  <c r="L11" i="3" s="1"/>
  <c r="G12" i="5" s="1"/>
</calcChain>
</file>

<file path=xl/sharedStrings.xml><?xml version="1.0" encoding="utf-8"?>
<sst xmlns="http://schemas.openxmlformats.org/spreadsheetml/2006/main" count="518" uniqueCount="83">
  <si>
    <t>Kode</t>
  </si>
  <si>
    <t>Tanggal</t>
  </si>
  <si>
    <t>Barang</t>
  </si>
  <si>
    <t>Size</t>
  </si>
  <si>
    <t>Modal</t>
  </si>
  <si>
    <t>Laba</t>
  </si>
  <si>
    <t>XL</t>
  </si>
  <si>
    <t>b04</t>
  </si>
  <si>
    <t>a01</t>
  </si>
  <si>
    <t>S</t>
  </si>
  <si>
    <t>a02</t>
  </si>
  <si>
    <t>Spandex</t>
  </si>
  <si>
    <t>M</t>
  </si>
  <si>
    <t>c01</t>
  </si>
  <si>
    <t>a03</t>
  </si>
  <si>
    <t>L</t>
  </si>
  <si>
    <t>c03</t>
  </si>
  <si>
    <t>a04</t>
  </si>
  <si>
    <t>Dewasa</t>
  </si>
  <si>
    <t>b01</t>
  </si>
  <si>
    <t>Xseven</t>
  </si>
  <si>
    <t>x7</t>
  </si>
  <si>
    <t>b02</t>
  </si>
  <si>
    <t>b03</t>
  </si>
  <si>
    <t>b05</t>
  </si>
  <si>
    <t>c02</t>
  </si>
  <si>
    <t>c04</t>
  </si>
  <si>
    <t>XSeven</t>
  </si>
  <si>
    <t>Jml</t>
  </si>
  <si>
    <t>Pemasukan</t>
  </si>
  <si>
    <t>Setelan</t>
  </si>
  <si>
    <t>XXL</t>
  </si>
  <si>
    <t>-</t>
  </si>
  <si>
    <t>Daster</t>
  </si>
  <si>
    <t>s</t>
  </si>
  <si>
    <t>das</t>
  </si>
  <si>
    <t>m</t>
  </si>
  <si>
    <t>l</t>
  </si>
  <si>
    <t>xl</t>
  </si>
  <si>
    <t>xxl</t>
  </si>
  <si>
    <t>Bulan</t>
  </si>
  <si>
    <t>April</t>
  </si>
  <si>
    <t>Mei</t>
  </si>
  <si>
    <t>Setelan S</t>
  </si>
  <si>
    <t>Setelan M</t>
  </si>
  <si>
    <t>Setelan L</t>
  </si>
  <si>
    <t>Setelan XL</t>
  </si>
  <si>
    <t>Dewasa S</t>
  </si>
  <si>
    <t>Dewasa M</t>
  </si>
  <si>
    <t>Dewasa L</t>
  </si>
  <si>
    <t>Dewasa XL</t>
  </si>
  <si>
    <t>Dewasa XXL</t>
  </si>
  <si>
    <t>Spandex M</t>
  </si>
  <si>
    <t>Spandex  L</t>
  </si>
  <si>
    <t>Spandex XL</t>
  </si>
  <si>
    <t>Spandex XXL</t>
  </si>
  <si>
    <t>kode</t>
  </si>
  <si>
    <t>Lemari</t>
  </si>
  <si>
    <t>BELANJA KE UDA 4/5/26</t>
  </si>
  <si>
    <t>Belanja</t>
  </si>
  <si>
    <t>Pajangan</t>
  </si>
  <si>
    <t>Harga_Jual</t>
  </si>
  <si>
    <t>Total_Modal</t>
  </si>
  <si>
    <t>Total_Omzet</t>
  </si>
  <si>
    <t>Total_Laba</t>
  </si>
  <si>
    <t>Barang_Size</t>
  </si>
  <si>
    <t>Modal_lusinan</t>
  </si>
  <si>
    <t>Modal_Satuan</t>
  </si>
  <si>
    <t>Stok_Awal</t>
  </si>
  <si>
    <t>Pajangan_awal</t>
  </si>
  <si>
    <t>kePajangan</t>
  </si>
  <si>
    <t>Brg_Keluar</t>
  </si>
  <si>
    <t>Total_stok</t>
  </si>
  <si>
    <t>Modal_bulan</t>
  </si>
  <si>
    <t>Nama_Barang</t>
  </si>
  <si>
    <t>Harga_pokok_lusin</t>
  </si>
  <si>
    <t>pokok_belanja</t>
  </si>
  <si>
    <t>belanja_lusin</t>
  </si>
  <si>
    <t>jml_pcs_belanja</t>
  </si>
  <si>
    <t>jumlah_belanja+stok</t>
  </si>
  <si>
    <t>Harga+komisi_uda</t>
  </si>
  <si>
    <t>sum_belanja</t>
  </si>
  <si>
    <t>total_belanja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</si>
</sst>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_-[$Rp-421]* #,##0_-;\-[$Rp-421]* #,##0_-;_-[$Rp-421]* &quot;-&quot;??_-;_-@_-"/>
    <numFmt numFmtId="165" formatCode="dd/mm/yyyy"/>
    <numFmt numFmtId="166" formatCode="dd/mm/yy;@"/>
  </numFmts>
  <fonts count="6" x14ac:knownFonts="1">
    <font>
      <sz val="11"/>
      <color theme="1"/>
      <name val="Aptos Narrow"/>
    </font>
    <font>
      <sz val="11"/>
      <color theme="1"/>
      <name val="Aptos Narrow"/>
    </font>
    <font>
      <b/>
      <sz val="11"/>
      <color rgb="FFFFFFFF"/>
      <name val="Aptos Narrow"/>
    </font>
    <font>
      <sz val="11"/>
      <color theme="1"/>
      <name val="Aptos Narrow"/>
      <family val="2"/>
    </font>
    <font>
      <b/>
      <sz val="11"/>
      <color rgb="FFFFFFFF"/>
      <name val="Aptos Narrow"/>
      <family val="2"/>
    </font>
    <font>
      <sz val="8"/>
      <name val="Aptos Narrow"/>
    </font>
  </fonts>
  <fills count="7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1F4E78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theme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0">
    <xf numFmtId="0" fontId="0" fillId="0" borderId="0" xfId="0"/>
    <xf numFmtId="164" fontId="0" fillId="0" borderId="0" xfId="0" applyNumberFormat="1"/>
    <xf numFmtId="0" fontId="2" fillId="3" borderId="0" xfId="0" applyFont="1" applyFill="1" applyAlignment="1">
      <alignment horizontal="center" vertical="center"/>
    </xf>
    <xf numFmtId="3" fontId="0" fillId="0" borderId="0" xfId="0" applyNumberFormat="1"/>
    <xf numFmtId="0" fontId="4" fillId="3" borderId="0" xfId="0" applyFont="1" applyFill="1" applyAlignment="1">
      <alignment horizontal="center" vertical="center"/>
    </xf>
    <xf numFmtId="0" fontId="3" fillId="0" borderId="0" xfId="0" applyFont="1"/>
    <xf numFmtId="0" fontId="0" fillId="5" borderId="0" xfId="0" applyFill="1"/>
    <xf numFmtId="0" fontId="3" fillId="0" borderId="3" xfId="0" applyFont="1" applyBorder="1"/>
    <xf numFmtId="0" fontId="3" fillId="6" borderId="3" xfId="0" applyFont="1" applyFill="1" applyBorder="1"/>
    <xf numFmtId="165" fontId="3" fillId="0" borderId="3" xfId="0" applyNumberFormat="1" applyFont="1" applyBorder="1"/>
    <xf numFmtId="164" fontId="3" fillId="0" borderId="3" xfId="0" applyNumberFormat="1" applyFont="1" applyBorder="1"/>
    <xf numFmtId="165" fontId="3" fillId="6" borderId="3" xfId="0" applyNumberFormat="1" applyFont="1" applyFill="1" applyBorder="1"/>
    <xf numFmtId="164" fontId="3" fillId="6" borderId="3" xfId="0" applyNumberFormat="1" applyFont="1" applyFill="1" applyBorder="1"/>
    <xf numFmtId="166" fontId="0" fillId="0" borderId="0" xfId="0" applyNumberFormat="1"/>
    <xf numFmtId="0" fontId="4" fillId="3" borderId="1" xfId="0" applyFont="1" applyFill="1" applyBorder="1" applyAlignment="1">
      <alignment horizontal="center" vertical="center"/>
    </xf>
    <xf numFmtId="165" fontId="4" fillId="3" borderId="1" xfId="0" applyNumberFormat="1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164" fontId="4" fillId="3" borderId="4" xfId="0" applyNumberFormat="1" applyFont="1" applyFill="1" applyBorder="1" applyAlignment="1">
      <alignment horizontal="center" vertical="center"/>
    </xf>
    <xf numFmtId="3" fontId="4" fillId="3" borderId="5" xfId="0" applyNumberFormat="1" applyFont="1" applyFill="1" applyBorder="1" applyAlignment="1">
      <alignment horizontal="center" vertical="center"/>
    </xf>
    <xf numFmtId="164" fontId="0" fillId="0" borderId="2" xfId="0" applyNumberFormat="1" applyBorder="1"/>
    <xf numFmtId="165" fontId="3" fillId="2" borderId="3" xfId="0" applyNumberFormat="1" applyFont="1" applyFill="1" applyBorder="1"/>
    <xf numFmtId="0" fontId="3" fillId="2" borderId="3" xfId="0" applyFont="1" applyFill="1" applyBorder="1"/>
    <xf numFmtId="164" fontId="3" fillId="2" borderId="3" xfId="0" applyNumberFormat="1" applyFont="1" applyFill="1" applyBorder="1"/>
    <xf numFmtId="166" fontId="4" fillId="3" borderId="1" xfId="0" applyNumberFormat="1" applyFont="1" applyFill="1" applyBorder="1" applyAlignment="1">
      <alignment horizontal="center" vertical="center"/>
    </xf>
    <xf numFmtId="166" fontId="3" fillId="0" borderId="3" xfId="0" applyNumberFormat="1" applyFont="1" applyBorder="1"/>
    <xf numFmtId="166" fontId="3" fillId="6" borderId="3" xfId="0" applyNumberFormat="1" applyFont="1" applyFill="1" applyBorder="1"/>
    <xf numFmtId="166" fontId="3" fillId="2" borderId="3" xfId="0" applyNumberFormat="1" applyFont="1" applyFill="1" applyBorder="1"/>
    <xf numFmtId="166" fontId="3" fillId="0" borderId="0" xfId="0" applyNumberFormat="1" applyFont="1"/>
    <xf numFmtId="0" fontId="3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</cellXfs>
  <cellStyles count="2">
    <cellStyle name="Currency" xfId="1" xr:uid="{00000000-0005-0000-0000-000000000000}"/>
    <cellStyle name="Normal" xfId="0" builtinId="0"/>
  </cellStyles>
  <dxfs count="28">
    <dxf>
      <fill>
        <patternFill>
          <bgColor theme="7" tint="0.59993285927915285"/>
        </patternFill>
      </fill>
    </dxf>
    <dxf>
      <fill>
        <patternFill>
          <bgColor rgb="FFFF0000"/>
        </patternFill>
      </fill>
    </dxf>
    <dxf>
      <numFmt numFmtId="164" formatCode="_-[$Rp-421]* #,##0_-;\-[$Rp-421]* #,##0_-;_-[$Rp-421]* &quot;-&quot;??_-;_-@_-"/>
    </dxf>
    <dxf>
      <numFmt numFmtId="164" formatCode="_-[$Rp-421]* #,##0_-;\-[$Rp-421]* #,##0_-;_-[$Rp-421]* &quot;-&quot;??_-;_-@_-"/>
    </dxf>
    <dxf>
      <numFmt numFmtId="164" formatCode="_-[$Rp-421]* #,##0_-;\-[$Rp-421]* #,##0_-;_-[$Rp-421]* &quot;-&quot;??_-;_-@_-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64" formatCode="_-[$Rp-421]* #,##0_-;\-[$Rp-421]* #,##0_-;_-[$Rp-421]* &quot;-&quot;??_-;_-@_-"/>
    </dxf>
    <dxf>
      <numFmt numFmtId="164" formatCode="_-[$Rp-421]* #,##0_-;\-[$Rp-421]* #,##0_-;_-[$Rp-421]* &quot;-&quot;??_-;_-@_-"/>
    </dxf>
    <dxf>
      <numFmt numFmtId="164" formatCode="_-[$Rp-421]* #,##0_-;\-[$Rp-421]* #,##0_-;_-[$Rp-421]* &quot;-&quot;??_-;_-@_-"/>
    </dxf>
    <dxf>
      <numFmt numFmtId="164" formatCode="_-[$Rp-421]* #,##0_-;\-[$Rp-421]* #,##0_-;_-[$Rp-421]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numFmt numFmtId="164" formatCode="_-[$Rp-421]* #,##0_-;\-[$Rp-421]* #,##0_-;_-[$Rp-421]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9867D8E-0256-416E-85E5-24C0F9AB6052}" name="Table3" displayName="Table3" ref="A2:P16" headerRowCount="0" totalsRowShown="0" headerRowDxfId="27">
  <tableColumns count="16">
    <tableColumn id="1" xr3:uid="{8ED79600-7F62-4975-A881-2BEF1067EF2A}" name="Column1" headerRowDxfId="26" dataDxfId="25"/>
    <tableColumn id="2" xr3:uid="{25745B69-16A3-4B83-8D48-133AF0CC14A7}" name="Column2"/>
    <tableColumn id="3" xr3:uid="{06521287-CB94-433A-9876-5E7208643944}" name="Column3" headerRowDxfId="24" dataDxfId="23"/>
    <tableColumn id="4" xr3:uid="{FFE8493D-AAF2-4D04-929F-18567E007452}" name="Column4" headerRowDxfId="22" dataDxfId="21"/>
    <tableColumn id="8" xr3:uid="{C5BEDF6E-1509-4E0A-B320-50DD99DB252D}" name="Column8" headerRowDxfId="20" dataDxfId="19"/>
    <tableColumn id="10" xr3:uid="{ACB512CA-9FEB-4E43-A88F-D23C3DF4050E}" name="Column10" headerRowDxfId="18" dataDxfId="17"/>
    <tableColumn id="11" xr3:uid="{E6E65647-C989-4333-BDCE-32F7BD7F5C01}" name="Column11" headerRowDxfId="16" dataDxfId="15">
      <calculatedColumnFormula>Table3[[#This Row],[Column10]]-Table3[[#This Row],[Column19]]</calculatedColumnFormula>
    </tableColumn>
    <tableColumn id="23" xr3:uid="{D60C2E0E-01CB-4E6F-BB4E-1CC354C553DE}" name="Column6" headerRowDxfId="14" dataDxfId="13"/>
    <tableColumn id="22" xr3:uid="{FE7F13F0-197E-4B86-B6BA-5994550A6553}" name="Column5" headerRowDxfId="12" dataDxfId="11"/>
    <tableColumn id="20" xr3:uid="{851EED19-0996-4407-B7E2-ECA6540846EF}" name="Column19" headerRowDxfId="10" dataDxfId="9">
      <calculatedColumnFormula>Table3[[#This Row],[Column6]]+Table3[[#This Row],[Column5]]-Table3[[#This Row],[Column13]]</calculatedColumnFormula>
    </tableColumn>
    <tableColumn id="13" xr3:uid="{C8E9EA17-EB97-4625-AC8B-2EC04AC561BF}" name="Column13" headerRowDxfId="8" dataDxfId="7">
      <calculatedColumnFormula>IF($B2="","",SUMIF(Transaksi!$D:$D,$B2,Transaksi!$E:$E)+IF($B2="das",SUMIFS(Transaksi!$E:$E,Transaksi!$B:$B,"Daster",Transaksi!$D:$D,""),0)+IF($B2="x7",SUMIFS(Transaksi!$E:$E,Transaksi!$B:$B,"Xseven",Transaksi!$D:$D,""),0))</calculatedColumnFormula>
    </tableColumn>
    <tableColumn id="14" xr3:uid="{44047483-939F-4241-AD1C-945EF8DFB32B}" name="Column14" headerRowDxfId="6" dataDxfId="5">
      <calculatedColumnFormula>Table3[[#This Row],[Column11]]+Table3[[#This Row],[Column19]]</calculatedColumnFormula>
    </tableColumn>
    <tableColumn id="15" xr3:uid="{B14DAADA-8A3C-4CDF-B368-C194B6C4DF11}" name="Column15"/>
    <tableColumn id="16" xr3:uid="{8071B1D7-2CDA-401D-A8A9-D65DA75161A9}" name="Column16" headerRowDxfId="4"/>
    <tableColumn id="17" xr3:uid="{07842C81-5A5D-42E3-8D1D-D37BE560A8C8}" name="Column17" headerRowDxfId="3"/>
    <tableColumn id="18" xr3:uid="{24AC3A00-1433-4580-9CE9-F0BCA40BAEBF}" name="Column18" headerRowDxfId="2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15562-1047-4A62-990E-A24EF0164856}">
  <dimension ref="A1:L338"/>
  <sheetViews>
    <sheetView tabSelected="1" workbookViewId="0">
      <pane ySplit="1" topLeftCell="A131" activePane="bottomLeft" state="frozen"/>
      <selection pane="bottomLeft" activeCell="F145" sqref="F145"/>
    </sheetView>
  </sheetViews>
  <sheetFormatPr defaultRowHeight="14.4" x14ac:dyDescent="0.3"/>
  <cols>
    <col min="1" max="1" width="10.33203125" style="13" bestFit="1" customWidth="1"/>
    <col min="2" max="2" width="12.6640625" bestFit="1" customWidth="1"/>
    <col min="4" max="4" width="8.88671875" customWidth="1"/>
    <col min="6" max="6" width="10.77734375" bestFit="1" customWidth="1"/>
    <col min="7" max="7" width="12" bestFit="1" customWidth="1"/>
    <col min="8" max="9" width="11" bestFit="1" customWidth="1"/>
    <col min="10" max="10" width="12.5546875" bestFit="1" customWidth="1"/>
    <col min="11" max="11" width="13.6640625" bestFit="1" customWidth="1"/>
    <col min="12" max="12" width="12.5546875" bestFit="1" customWidth="1"/>
  </cols>
  <sheetData>
    <row r="1" spans="1:12" x14ac:dyDescent="0.3">
      <c r="A1" s="23" t="s">
        <v>1</v>
      </c>
      <c r="B1" s="15" t="s">
        <v>2</v>
      </c>
      <c r="C1" s="14" t="s">
        <v>3</v>
      </c>
      <c r="D1" s="14" t="s">
        <v>0</v>
      </c>
      <c r="E1" s="14" t="s">
        <v>28</v>
      </c>
      <c r="F1" s="16" t="s">
        <v>61</v>
      </c>
      <c r="G1" s="16" t="s">
        <v>29</v>
      </c>
      <c r="H1" s="16" t="s">
        <v>4</v>
      </c>
      <c r="I1" s="16" t="s">
        <v>5</v>
      </c>
      <c r="J1" s="17" t="s">
        <v>62</v>
      </c>
      <c r="K1" s="16" t="s">
        <v>63</v>
      </c>
      <c r="L1" s="18" t="s">
        <v>64</v>
      </c>
    </row>
    <row r="2" spans="1:12" x14ac:dyDescent="0.3">
      <c r="A2" s="13">
        <v>46110</v>
      </c>
      <c r="B2" t="s">
        <v>18</v>
      </c>
      <c r="C2" t="s">
        <v>6</v>
      </c>
      <c r="D2" t="s">
        <v>7</v>
      </c>
      <c r="E2">
        <v>1</v>
      </c>
      <c r="F2" s="1">
        <v>37000</v>
      </c>
      <c r="G2" s="1">
        <f>E2*F2</f>
        <v>37000</v>
      </c>
      <c r="H2" s="10">
        <f>IFERROR(E2*_xlfn.XLOOKUP(D2,Stok_Baju!B:B,Stok_Baju!D:D),0)</f>
        <v>20833.333333333332</v>
      </c>
      <c r="I2" s="1">
        <f>G2-H2</f>
        <v>16166.666666666668</v>
      </c>
      <c r="J2" s="19">
        <f>SUM(H:H)</f>
        <v>7367500.0000000028</v>
      </c>
      <c r="K2" s="19">
        <f>SUM(G:G)</f>
        <v>14602000</v>
      </c>
      <c r="L2" s="19">
        <f>K2-J2</f>
        <v>7234499.9999999972</v>
      </c>
    </row>
    <row r="3" spans="1:12" x14ac:dyDescent="0.3">
      <c r="A3" s="13">
        <v>46110</v>
      </c>
      <c r="B3" t="s">
        <v>30</v>
      </c>
      <c r="C3" t="s">
        <v>9</v>
      </c>
      <c r="D3" t="s">
        <v>8</v>
      </c>
      <c r="E3">
        <v>1</v>
      </c>
      <c r="F3" s="1">
        <v>40000</v>
      </c>
      <c r="G3" s="1">
        <f t="shared" ref="G3:G9" si="0">E3*F3</f>
        <v>40000</v>
      </c>
      <c r="H3" s="10">
        <f>IFERROR(E3*_xlfn.XLOOKUP(D3,Stok_Baju!B:B,Stok_Baju!D:D),0)</f>
        <v>21666.666666666668</v>
      </c>
      <c r="I3" s="1">
        <f t="shared" ref="I3:I9" si="1">G3-H3</f>
        <v>18333.333333333332</v>
      </c>
    </row>
    <row r="4" spans="1:12" x14ac:dyDescent="0.3">
      <c r="A4" s="13">
        <v>46110</v>
      </c>
      <c r="B4" t="s">
        <v>11</v>
      </c>
      <c r="C4" t="s">
        <v>12</v>
      </c>
      <c r="D4" t="s">
        <v>13</v>
      </c>
      <c r="E4">
        <v>1</v>
      </c>
      <c r="F4" s="1">
        <v>50000</v>
      </c>
      <c r="G4" s="1">
        <f t="shared" si="0"/>
        <v>50000</v>
      </c>
      <c r="H4" s="10">
        <f>IFERROR(E4*_xlfn.XLOOKUP(D4,Stok_Baju!B:B,Stok_Baju!D:D),0)</f>
        <v>31250</v>
      </c>
      <c r="I4" s="1">
        <f t="shared" si="1"/>
        <v>18750</v>
      </c>
    </row>
    <row r="5" spans="1:12" x14ac:dyDescent="0.3">
      <c r="A5" s="13">
        <v>46112</v>
      </c>
      <c r="B5" t="s">
        <v>18</v>
      </c>
      <c r="C5" t="s">
        <v>15</v>
      </c>
      <c r="D5" t="s">
        <v>16</v>
      </c>
      <c r="E5">
        <v>2</v>
      </c>
      <c r="F5" s="1">
        <v>45000</v>
      </c>
      <c r="G5" s="1">
        <f t="shared" si="0"/>
        <v>90000</v>
      </c>
      <c r="H5" s="10">
        <f>IFERROR(E5*_xlfn.XLOOKUP(D5,Stok_Baju!B:B,Stok_Baju!D:D),0)</f>
        <v>70833.333333333328</v>
      </c>
      <c r="I5" s="1">
        <f t="shared" si="1"/>
        <v>19166.666666666672</v>
      </c>
    </row>
    <row r="6" spans="1:12" x14ac:dyDescent="0.3">
      <c r="A6" s="13">
        <v>46112</v>
      </c>
      <c r="B6" t="s">
        <v>30</v>
      </c>
      <c r="C6" t="s">
        <v>12</v>
      </c>
      <c r="D6" t="s">
        <v>10</v>
      </c>
      <c r="E6">
        <v>1</v>
      </c>
      <c r="F6" s="1">
        <v>50000</v>
      </c>
      <c r="G6" s="1">
        <f t="shared" si="0"/>
        <v>50000</v>
      </c>
      <c r="H6" s="10">
        <f>IFERROR(E6*_xlfn.XLOOKUP(D6,Stok_Baju!B:B,Stok_Baju!D:D),0)</f>
        <v>22916.666666666668</v>
      </c>
      <c r="I6" s="1">
        <f t="shared" si="1"/>
        <v>27083.333333333332</v>
      </c>
    </row>
    <row r="7" spans="1:12" x14ac:dyDescent="0.3">
      <c r="A7" s="13">
        <v>46112</v>
      </c>
      <c r="B7" t="s">
        <v>30</v>
      </c>
      <c r="C7" t="s">
        <v>9</v>
      </c>
      <c r="D7" t="s">
        <v>8</v>
      </c>
      <c r="E7">
        <v>2</v>
      </c>
      <c r="F7" s="1">
        <v>50000</v>
      </c>
      <c r="G7" s="1">
        <f t="shared" si="0"/>
        <v>100000</v>
      </c>
      <c r="H7" s="10">
        <f>IFERROR(E7*_xlfn.XLOOKUP(D7,Stok_Baju!B:B,Stok_Baju!D:D),0)</f>
        <v>43333.333333333336</v>
      </c>
      <c r="I7" s="1">
        <f t="shared" si="1"/>
        <v>56666.666666666664</v>
      </c>
    </row>
    <row r="8" spans="1:12" x14ac:dyDescent="0.3">
      <c r="A8" s="13">
        <v>46112</v>
      </c>
      <c r="B8" t="s">
        <v>30</v>
      </c>
      <c r="C8" t="s">
        <v>15</v>
      </c>
      <c r="D8" t="s">
        <v>14</v>
      </c>
      <c r="E8">
        <v>4</v>
      </c>
      <c r="F8" s="1">
        <v>50000</v>
      </c>
      <c r="G8" s="1">
        <f t="shared" si="0"/>
        <v>200000</v>
      </c>
      <c r="H8" s="10">
        <f>IFERROR(E8*_xlfn.XLOOKUP(D8,Stok_Baju!B:B,Stok_Baju!D:D),0)</f>
        <v>95000</v>
      </c>
      <c r="I8" s="1">
        <f t="shared" si="1"/>
        <v>105000</v>
      </c>
    </row>
    <row r="9" spans="1:12" x14ac:dyDescent="0.3">
      <c r="A9" s="13">
        <v>46112</v>
      </c>
      <c r="B9" t="s">
        <v>20</v>
      </c>
      <c r="D9" t="s">
        <v>21</v>
      </c>
      <c r="E9">
        <v>4</v>
      </c>
      <c r="F9" s="1">
        <v>60000</v>
      </c>
      <c r="G9" s="1">
        <f t="shared" si="0"/>
        <v>240000</v>
      </c>
      <c r="H9" s="10">
        <f>IFERROR(E9*_xlfn.XLOOKUP(D9,Stok_Baju!B:B,Stok_Baju!D:D),0)</f>
        <v>140000</v>
      </c>
      <c r="I9" s="1">
        <f t="shared" si="1"/>
        <v>100000</v>
      </c>
    </row>
    <row r="10" spans="1:12" x14ac:dyDescent="0.3">
      <c r="A10" s="24">
        <v>46114</v>
      </c>
      <c r="B10" s="9" t="s">
        <v>30</v>
      </c>
      <c r="C10" s="7" t="s">
        <v>9</v>
      </c>
      <c r="D10" s="7" t="s">
        <v>8</v>
      </c>
      <c r="E10" s="7">
        <v>2</v>
      </c>
      <c r="F10" s="10">
        <v>45000</v>
      </c>
      <c r="G10" s="10">
        <f t="shared" ref="G10:G73" si="2">IF(OR(E10="",F10=""),"",E10*F10)</f>
        <v>90000</v>
      </c>
      <c r="H10" s="10">
        <f>IFERROR(E10*_xlfn.XLOOKUP(D10,Stok_Baju!B:B,Stok_Baju!D:D),0)</f>
        <v>43333.333333333336</v>
      </c>
      <c r="I10" s="10">
        <f t="shared" ref="I10:I73" si="3">IF(G10="","",G10-H10)</f>
        <v>46666.666666666664</v>
      </c>
    </row>
    <row r="11" spans="1:12" x14ac:dyDescent="0.3">
      <c r="A11" s="25">
        <v>46114</v>
      </c>
      <c r="B11" s="11" t="s">
        <v>30</v>
      </c>
      <c r="C11" s="8" t="s">
        <v>12</v>
      </c>
      <c r="D11" s="8" t="s">
        <v>10</v>
      </c>
      <c r="E11" s="8">
        <v>4</v>
      </c>
      <c r="F11" s="12">
        <v>45000</v>
      </c>
      <c r="G11" s="12">
        <f t="shared" si="2"/>
        <v>180000</v>
      </c>
      <c r="H11" s="12">
        <f>IFERROR(E11*_xlfn.XLOOKUP(D11,Stok_Baju!B:B,Stok_Baju!D:D),0)</f>
        <v>91666.666666666672</v>
      </c>
      <c r="I11" s="12">
        <f t="shared" si="3"/>
        <v>88333.333333333328</v>
      </c>
    </row>
    <row r="12" spans="1:12" x14ac:dyDescent="0.3">
      <c r="A12" s="24">
        <v>46114</v>
      </c>
      <c r="B12" s="9" t="s">
        <v>30</v>
      </c>
      <c r="C12" s="7" t="s">
        <v>15</v>
      </c>
      <c r="D12" s="7" t="s">
        <v>14</v>
      </c>
      <c r="E12" s="7">
        <v>9</v>
      </c>
      <c r="F12" s="10">
        <v>45000</v>
      </c>
      <c r="G12" s="10">
        <f t="shared" si="2"/>
        <v>405000</v>
      </c>
      <c r="H12" s="10">
        <f>IFERROR(E12*_xlfn.XLOOKUP(D12,Stok_Baju!B:B,Stok_Baju!D:D),0)</f>
        <v>213750</v>
      </c>
      <c r="I12" s="10">
        <f t="shared" si="3"/>
        <v>191250</v>
      </c>
    </row>
    <row r="13" spans="1:12" x14ac:dyDescent="0.3">
      <c r="A13" s="25">
        <v>46114</v>
      </c>
      <c r="B13" s="11" t="s">
        <v>30</v>
      </c>
      <c r="C13" s="8" t="s">
        <v>6</v>
      </c>
      <c r="D13" s="8" t="s">
        <v>17</v>
      </c>
      <c r="E13" s="8">
        <v>3</v>
      </c>
      <c r="F13" s="12">
        <v>50000</v>
      </c>
      <c r="G13" s="12">
        <f t="shared" si="2"/>
        <v>150000</v>
      </c>
      <c r="H13" s="12">
        <f>IFERROR(E13*_xlfn.XLOOKUP(D13,Stok_Baju!B:B,Stok_Baju!D:D),0)</f>
        <v>76250</v>
      </c>
      <c r="I13" s="12">
        <f t="shared" si="3"/>
        <v>73750</v>
      </c>
    </row>
    <row r="14" spans="1:12" x14ac:dyDescent="0.3">
      <c r="A14" s="24">
        <v>46114</v>
      </c>
      <c r="B14" s="9" t="s">
        <v>18</v>
      </c>
      <c r="C14" s="7" t="s">
        <v>9</v>
      </c>
      <c r="D14" s="7" t="s">
        <v>19</v>
      </c>
      <c r="E14" s="7">
        <v>1</v>
      </c>
      <c r="F14" s="10">
        <v>45000</v>
      </c>
      <c r="G14" s="10">
        <f t="shared" si="2"/>
        <v>45000</v>
      </c>
      <c r="H14" s="10">
        <f>IFERROR(E14*_xlfn.XLOOKUP(D14,Stok_Baju!B:B,Stok_Baju!D:D),0)</f>
        <v>17083.333333333332</v>
      </c>
      <c r="I14" s="10">
        <f t="shared" si="3"/>
        <v>27916.666666666668</v>
      </c>
    </row>
    <row r="15" spans="1:12" x14ac:dyDescent="0.3">
      <c r="A15" s="25">
        <v>46114</v>
      </c>
      <c r="B15" s="11" t="s">
        <v>18</v>
      </c>
      <c r="C15" s="8" t="s">
        <v>12</v>
      </c>
      <c r="D15" s="8" t="s">
        <v>22</v>
      </c>
      <c r="E15" s="8">
        <v>3</v>
      </c>
      <c r="F15" s="12">
        <v>45000</v>
      </c>
      <c r="G15" s="12">
        <f t="shared" si="2"/>
        <v>135000</v>
      </c>
      <c r="H15" s="12">
        <f>IFERROR(E15*_xlfn.XLOOKUP(D15,Stok_Baju!B:B,Stok_Baju!D:D),0)</f>
        <v>55000</v>
      </c>
      <c r="I15" s="12">
        <f t="shared" si="3"/>
        <v>80000</v>
      </c>
    </row>
    <row r="16" spans="1:12" x14ac:dyDescent="0.3">
      <c r="A16" s="24">
        <v>46114</v>
      </c>
      <c r="B16" s="9" t="s">
        <v>18</v>
      </c>
      <c r="C16" s="7" t="s">
        <v>15</v>
      </c>
      <c r="D16" s="7" t="s">
        <v>23</v>
      </c>
      <c r="E16" s="7">
        <v>1</v>
      </c>
      <c r="F16" s="10">
        <v>45000</v>
      </c>
      <c r="G16" s="10">
        <f t="shared" si="2"/>
        <v>45000</v>
      </c>
      <c r="H16" s="10">
        <f>IFERROR(E16*_xlfn.XLOOKUP(D16,Stok_Baju!B:B,Stok_Baju!D:D),0)</f>
        <v>19583.333333333332</v>
      </c>
      <c r="I16" s="10">
        <f t="shared" si="3"/>
        <v>25416.666666666668</v>
      </c>
    </row>
    <row r="17" spans="1:9" x14ac:dyDescent="0.3">
      <c r="A17" s="25">
        <v>46114</v>
      </c>
      <c r="B17" s="11" t="s">
        <v>11</v>
      </c>
      <c r="C17" s="8" t="s">
        <v>12</v>
      </c>
      <c r="D17" s="8" t="s">
        <v>13</v>
      </c>
      <c r="E17" s="8">
        <v>2</v>
      </c>
      <c r="F17" s="12">
        <v>50000</v>
      </c>
      <c r="G17" s="12">
        <f t="shared" si="2"/>
        <v>100000</v>
      </c>
      <c r="H17" s="12">
        <f>IFERROR(E17*_xlfn.XLOOKUP(D17,Stok_Baju!B:B,Stok_Baju!D:D),0)</f>
        <v>62500</v>
      </c>
      <c r="I17" s="12">
        <f t="shared" si="3"/>
        <v>37500</v>
      </c>
    </row>
    <row r="18" spans="1:9" x14ac:dyDescent="0.3">
      <c r="A18" s="24">
        <v>46114</v>
      </c>
      <c r="B18" s="9" t="s">
        <v>11</v>
      </c>
      <c r="C18" s="7" t="s">
        <v>15</v>
      </c>
      <c r="D18" s="7" t="s">
        <v>25</v>
      </c>
      <c r="E18" s="7">
        <v>2</v>
      </c>
      <c r="F18" s="10">
        <v>50000</v>
      </c>
      <c r="G18" s="10">
        <f t="shared" si="2"/>
        <v>100000</v>
      </c>
      <c r="H18" s="10">
        <f>IFERROR(E18*_xlfn.XLOOKUP(D18,Stok_Baju!B:B,Stok_Baju!D:D),0)</f>
        <v>65833.333333333328</v>
      </c>
      <c r="I18" s="10">
        <f t="shared" si="3"/>
        <v>34166.666666666672</v>
      </c>
    </row>
    <row r="19" spans="1:9" x14ac:dyDescent="0.3">
      <c r="A19" s="25">
        <v>46114</v>
      </c>
      <c r="B19" s="11" t="s">
        <v>11</v>
      </c>
      <c r="C19" s="8" t="s">
        <v>6</v>
      </c>
      <c r="D19" s="8" t="s">
        <v>16</v>
      </c>
      <c r="E19" s="8">
        <v>5</v>
      </c>
      <c r="F19" s="12">
        <v>50000</v>
      </c>
      <c r="G19" s="12">
        <f t="shared" si="2"/>
        <v>250000</v>
      </c>
      <c r="H19" s="12">
        <f>IFERROR(E19*_xlfn.XLOOKUP(D19,Stok_Baju!B:B,Stok_Baju!D:D),0)</f>
        <v>177083.33333333331</v>
      </c>
      <c r="I19" s="12">
        <f t="shared" si="3"/>
        <v>72916.666666666686</v>
      </c>
    </row>
    <row r="20" spans="1:9" x14ac:dyDescent="0.3">
      <c r="A20" s="24">
        <v>46114</v>
      </c>
      <c r="B20" s="9" t="s">
        <v>11</v>
      </c>
      <c r="C20" s="7" t="s">
        <v>31</v>
      </c>
      <c r="D20" s="7" t="s">
        <v>26</v>
      </c>
      <c r="E20" s="7">
        <v>1</v>
      </c>
      <c r="F20" s="10">
        <v>50000</v>
      </c>
      <c r="G20" s="10">
        <f t="shared" si="2"/>
        <v>50000</v>
      </c>
      <c r="H20" s="10">
        <f>IFERROR(E20*_xlfn.XLOOKUP(D20,Stok_Baju!B:B,Stok_Baju!D:D),0)</f>
        <v>40000</v>
      </c>
      <c r="I20" s="10">
        <f t="shared" si="3"/>
        <v>10000</v>
      </c>
    </row>
    <row r="21" spans="1:9" x14ac:dyDescent="0.3">
      <c r="A21" s="25">
        <v>46114</v>
      </c>
      <c r="B21" s="11" t="s">
        <v>20</v>
      </c>
      <c r="C21" s="8" t="s">
        <v>32</v>
      </c>
      <c r="D21" s="8" t="s">
        <v>21</v>
      </c>
      <c r="E21" s="8">
        <v>1</v>
      </c>
      <c r="F21" s="12">
        <v>50000</v>
      </c>
      <c r="G21" s="12">
        <f t="shared" si="2"/>
        <v>50000</v>
      </c>
      <c r="H21" s="12">
        <f>IFERROR(E21*_xlfn.XLOOKUP(D21,Stok_Baju!B:B,Stok_Baju!D:D),0)</f>
        <v>35000</v>
      </c>
      <c r="I21" s="12">
        <f t="shared" si="3"/>
        <v>15000</v>
      </c>
    </row>
    <row r="22" spans="1:9" x14ac:dyDescent="0.3">
      <c r="A22" s="24">
        <v>46122</v>
      </c>
      <c r="B22" s="9" t="s">
        <v>30</v>
      </c>
      <c r="C22" s="7" t="s">
        <v>12</v>
      </c>
      <c r="D22" s="7" t="s">
        <v>10</v>
      </c>
      <c r="E22" s="7">
        <v>1</v>
      </c>
      <c r="F22" s="10">
        <v>50000</v>
      </c>
      <c r="G22" s="10">
        <f t="shared" si="2"/>
        <v>50000</v>
      </c>
      <c r="H22" s="10">
        <f>IFERROR(E22*_xlfn.XLOOKUP(D22,Stok_Baju!B:B,Stok_Baju!D:D),0)</f>
        <v>22916.666666666668</v>
      </c>
      <c r="I22" s="10">
        <f t="shared" si="3"/>
        <v>27083.333333333332</v>
      </c>
    </row>
    <row r="23" spans="1:9" x14ac:dyDescent="0.3">
      <c r="A23" s="25">
        <v>46123</v>
      </c>
      <c r="B23" s="11" t="s">
        <v>30</v>
      </c>
      <c r="C23" s="8" t="s">
        <v>6</v>
      </c>
      <c r="D23" s="8" t="s">
        <v>17</v>
      </c>
      <c r="E23" s="8">
        <v>1</v>
      </c>
      <c r="F23" s="12">
        <v>50000</v>
      </c>
      <c r="G23" s="12">
        <f t="shared" si="2"/>
        <v>50000</v>
      </c>
      <c r="H23" s="12">
        <f>IFERROR(E23*_xlfn.XLOOKUP(D23,Stok_Baju!B:B,Stok_Baju!D:D),0)</f>
        <v>25416.666666666668</v>
      </c>
      <c r="I23" s="12">
        <f t="shared" si="3"/>
        <v>24583.333333333332</v>
      </c>
    </row>
    <row r="24" spans="1:9" x14ac:dyDescent="0.3">
      <c r="A24" s="24">
        <v>46124</v>
      </c>
      <c r="B24" s="9" t="s">
        <v>18</v>
      </c>
      <c r="C24" s="7" t="s">
        <v>15</v>
      </c>
      <c r="D24" s="7" t="s">
        <v>23</v>
      </c>
      <c r="E24" s="7">
        <v>1</v>
      </c>
      <c r="F24" s="10">
        <v>45000</v>
      </c>
      <c r="G24" s="10">
        <f t="shared" si="2"/>
        <v>45000</v>
      </c>
      <c r="H24" s="10">
        <f>IFERROR(E24*_xlfn.XLOOKUP(D24,Stok_Baju!B:B,Stok_Baju!D:D),0)</f>
        <v>19583.333333333332</v>
      </c>
      <c r="I24" s="10">
        <f t="shared" si="3"/>
        <v>25416.666666666668</v>
      </c>
    </row>
    <row r="25" spans="1:9" x14ac:dyDescent="0.3">
      <c r="A25" s="25">
        <v>46126</v>
      </c>
      <c r="B25" s="11" t="s">
        <v>30</v>
      </c>
      <c r="C25" s="8" t="s">
        <v>9</v>
      </c>
      <c r="D25" s="8" t="s">
        <v>8</v>
      </c>
      <c r="E25" s="8">
        <v>1</v>
      </c>
      <c r="F25" s="12">
        <v>50000</v>
      </c>
      <c r="G25" s="12">
        <f t="shared" si="2"/>
        <v>50000</v>
      </c>
      <c r="H25" s="12">
        <f>IFERROR(E25*_xlfn.XLOOKUP(D25,Stok_Baju!B:B,Stok_Baju!D:D),0)</f>
        <v>21666.666666666668</v>
      </c>
      <c r="I25" s="12">
        <f t="shared" si="3"/>
        <v>28333.333333333332</v>
      </c>
    </row>
    <row r="26" spans="1:9" x14ac:dyDescent="0.3">
      <c r="A26" s="24">
        <v>46126</v>
      </c>
      <c r="B26" s="9" t="s">
        <v>30</v>
      </c>
      <c r="C26" s="7" t="s">
        <v>12</v>
      </c>
      <c r="D26" s="7" t="s">
        <v>10</v>
      </c>
      <c r="E26" s="7">
        <v>1</v>
      </c>
      <c r="F26" s="10">
        <v>50000</v>
      </c>
      <c r="G26" s="10">
        <f t="shared" si="2"/>
        <v>50000</v>
      </c>
      <c r="H26" s="10">
        <f>IFERROR(E26*_xlfn.XLOOKUP(D26,Stok_Baju!B:B,Stok_Baju!D:D),0)</f>
        <v>22916.666666666668</v>
      </c>
      <c r="I26" s="10">
        <f t="shared" si="3"/>
        <v>27083.333333333332</v>
      </c>
    </row>
    <row r="27" spans="1:9" x14ac:dyDescent="0.3">
      <c r="A27" s="25">
        <v>46126</v>
      </c>
      <c r="B27" s="11" t="s">
        <v>30</v>
      </c>
      <c r="C27" s="8" t="s">
        <v>15</v>
      </c>
      <c r="D27" s="8" t="s">
        <v>14</v>
      </c>
      <c r="E27" s="8">
        <v>2</v>
      </c>
      <c r="F27" s="12">
        <v>50000</v>
      </c>
      <c r="G27" s="12">
        <f t="shared" si="2"/>
        <v>100000</v>
      </c>
      <c r="H27" s="12">
        <f>IFERROR(E27*_xlfn.XLOOKUP(D27,Stok_Baju!B:B,Stok_Baju!D:D),0)</f>
        <v>47500</v>
      </c>
      <c r="I27" s="12">
        <f t="shared" si="3"/>
        <v>52500</v>
      </c>
    </row>
    <row r="28" spans="1:9" x14ac:dyDescent="0.3">
      <c r="A28" s="26">
        <v>46127</v>
      </c>
      <c r="B28" s="20" t="s">
        <v>18</v>
      </c>
      <c r="C28" s="21" t="s">
        <v>6</v>
      </c>
      <c r="D28" s="21" t="s">
        <v>7</v>
      </c>
      <c r="E28" s="21">
        <v>1</v>
      </c>
      <c r="F28" s="22">
        <v>35000</v>
      </c>
      <c r="G28" s="22">
        <f t="shared" si="2"/>
        <v>35000</v>
      </c>
      <c r="H28" s="10">
        <f>IFERROR(E28*_xlfn.XLOOKUP(D28,Stok_Baju!B:B,Stok_Baju!D:D),0)</f>
        <v>20833.333333333332</v>
      </c>
      <c r="I28" s="22">
        <f t="shared" si="3"/>
        <v>14166.666666666668</v>
      </c>
    </row>
    <row r="29" spans="1:9" x14ac:dyDescent="0.3">
      <c r="A29" s="25">
        <v>46127</v>
      </c>
      <c r="B29" s="11" t="s">
        <v>30</v>
      </c>
      <c r="C29" s="8" t="s">
        <v>6</v>
      </c>
      <c r="D29" s="8" t="s">
        <v>17</v>
      </c>
      <c r="E29" s="8">
        <v>3</v>
      </c>
      <c r="F29" s="12">
        <v>45000</v>
      </c>
      <c r="G29" s="12">
        <f t="shared" si="2"/>
        <v>135000</v>
      </c>
      <c r="H29" s="12">
        <f>IFERROR(E29*_xlfn.XLOOKUP(D29,Stok_Baju!B:B,Stok_Baju!D:D),0)</f>
        <v>76250</v>
      </c>
      <c r="I29" s="12">
        <f t="shared" si="3"/>
        <v>58750</v>
      </c>
    </row>
    <row r="30" spans="1:9" x14ac:dyDescent="0.3">
      <c r="A30" s="24">
        <v>46127</v>
      </c>
      <c r="B30" s="9" t="s">
        <v>18</v>
      </c>
      <c r="C30" s="7" t="s">
        <v>12</v>
      </c>
      <c r="D30" s="7" t="s">
        <v>22</v>
      </c>
      <c r="E30" s="7">
        <v>1</v>
      </c>
      <c r="F30" s="10">
        <v>40000</v>
      </c>
      <c r="G30" s="10">
        <f t="shared" si="2"/>
        <v>40000</v>
      </c>
      <c r="H30" s="10">
        <f>IFERROR(E30*_xlfn.XLOOKUP(D30,Stok_Baju!B:B,Stok_Baju!D:D),0)</f>
        <v>18333.333333333332</v>
      </c>
      <c r="I30" s="10">
        <f t="shared" si="3"/>
        <v>21666.666666666668</v>
      </c>
    </row>
    <row r="31" spans="1:9" x14ac:dyDescent="0.3">
      <c r="A31" s="25">
        <v>46127</v>
      </c>
      <c r="B31" s="11" t="s">
        <v>30</v>
      </c>
      <c r="C31" s="8" t="s">
        <v>9</v>
      </c>
      <c r="D31" s="8" t="s">
        <v>8</v>
      </c>
      <c r="E31" s="8">
        <v>1</v>
      </c>
      <c r="F31" s="12">
        <v>45000</v>
      </c>
      <c r="G31" s="12">
        <f t="shared" si="2"/>
        <v>45000</v>
      </c>
      <c r="H31" s="12">
        <f>IFERROR(E31*_xlfn.XLOOKUP(D31,Stok_Baju!B:B,Stok_Baju!D:D),0)</f>
        <v>21666.666666666668</v>
      </c>
      <c r="I31" s="12">
        <f t="shared" si="3"/>
        <v>23333.333333333332</v>
      </c>
    </row>
    <row r="32" spans="1:9" x14ac:dyDescent="0.3">
      <c r="A32" s="24">
        <v>46127</v>
      </c>
      <c r="B32" s="9" t="s">
        <v>18</v>
      </c>
      <c r="C32" s="7" t="s">
        <v>15</v>
      </c>
      <c r="D32" s="7" t="s">
        <v>23</v>
      </c>
      <c r="E32" s="7">
        <v>3</v>
      </c>
      <c r="F32" s="10">
        <v>45000</v>
      </c>
      <c r="G32" s="10">
        <f t="shared" si="2"/>
        <v>135000</v>
      </c>
      <c r="H32" s="10">
        <f>IFERROR(E32*_xlfn.XLOOKUP(D32,Stok_Baju!B:B,Stok_Baju!D:D),0)</f>
        <v>58750</v>
      </c>
      <c r="I32" s="10">
        <f t="shared" si="3"/>
        <v>76250</v>
      </c>
    </row>
    <row r="33" spans="1:9" x14ac:dyDescent="0.3">
      <c r="A33" s="25">
        <v>46127</v>
      </c>
      <c r="B33" s="11" t="s">
        <v>30</v>
      </c>
      <c r="C33" s="8" t="s">
        <v>9</v>
      </c>
      <c r="D33" s="8" t="s">
        <v>8</v>
      </c>
      <c r="E33" s="8">
        <v>1</v>
      </c>
      <c r="F33" s="12">
        <v>50000</v>
      </c>
      <c r="G33" s="12">
        <f t="shared" si="2"/>
        <v>50000</v>
      </c>
      <c r="H33" s="12">
        <f>IFERROR(E33*_xlfn.XLOOKUP(D33,Stok_Baju!B:B,Stok_Baju!D:D),0)</f>
        <v>21666.666666666668</v>
      </c>
      <c r="I33" s="12">
        <f t="shared" si="3"/>
        <v>28333.333333333332</v>
      </c>
    </row>
    <row r="34" spans="1:9" x14ac:dyDescent="0.3">
      <c r="A34" s="24">
        <v>46127</v>
      </c>
      <c r="B34" s="9" t="s">
        <v>30</v>
      </c>
      <c r="C34" s="7" t="s">
        <v>15</v>
      </c>
      <c r="D34" s="7" t="s">
        <v>14</v>
      </c>
      <c r="E34" s="7">
        <v>3</v>
      </c>
      <c r="F34" s="10">
        <v>50000</v>
      </c>
      <c r="G34" s="10">
        <f t="shared" si="2"/>
        <v>150000</v>
      </c>
      <c r="H34" s="10">
        <f>IFERROR(E34*_xlfn.XLOOKUP(D34,Stok_Baju!B:B,Stok_Baju!D:D),0)</f>
        <v>71250</v>
      </c>
      <c r="I34" s="10">
        <f t="shared" si="3"/>
        <v>78750</v>
      </c>
    </row>
    <row r="35" spans="1:9" x14ac:dyDescent="0.3">
      <c r="A35" s="25">
        <v>46127</v>
      </c>
      <c r="B35" s="11" t="s">
        <v>30</v>
      </c>
      <c r="C35" s="8" t="s">
        <v>6</v>
      </c>
      <c r="D35" s="8" t="s">
        <v>17</v>
      </c>
      <c r="E35" s="8">
        <v>2</v>
      </c>
      <c r="F35" s="12">
        <v>50000</v>
      </c>
      <c r="G35" s="12">
        <f t="shared" si="2"/>
        <v>100000</v>
      </c>
      <c r="H35" s="12">
        <f>IFERROR(E35*_xlfn.XLOOKUP(D35,Stok_Baju!B:B,Stok_Baju!D:D),0)</f>
        <v>50833.333333333336</v>
      </c>
      <c r="I35" s="12">
        <f t="shared" si="3"/>
        <v>49166.666666666664</v>
      </c>
    </row>
    <row r="36" spans="1:9" x14ac:dyDescent="0.3">
      <c r="A36" s="24">
        <v>46127</v>
      </c>
      <c r="B36" s="9" t="s">
        <v>18</v>
      </c>
      <c r="C36" s="7" t="s">
        <v>9</v>
      </c>
      <c r="D36" s="7" t="s">
        <v>19</v>
      </c>
      <c r="E36" s="7">
        <v>1</v>
      </c>
      <c r="F36" s="10">
        <v>45000</v>
      </c>
      <c r="G36" s="10">
        <f t="shared" si="2"/>
        <v>45000</v>
      </c>
      <c r="H36" s="10">
        <f>IFERROR(E36*_xlfn.XLOOKUP(D36,Stok_Baju!B:B,Stok_Baju!D:D),0)</f>
        <v>17083.333333333332</v>
      </c>
      <c r="I36" s="10">
        <f t="shared" si="3"/>
        <v>27916.666666666668</v>
      </c>
    </row>
    <row r="37" spans="1:9" x14ac:dyDescent="0.3">
      <c r="A37" s="25">
        <v>46127</v>
      </c>
      <c r="B37" s="11" t="s">
        <v>20</v>
      </c>
      <c r="C37" s="8"/>
      <c r="D37" s="8" t="s">
        <v>21</v>
      </c>
      <c r="E37" s="8">
        <v>2</v>
      </c>
      <c r="F37" s="12">
        <v>60000</v>
      </c>
      <c r="G37" s="12">
        <f t="shared" si="2"/>
        <v>120000</v>
      </c>
      <c r="H37" s="12">
        <f>IFERROR(E37*_xlfn.XLOOKUP(D37,Stok_Baju!B:B,Stok_Baju!D:D),0)</f>
        <v>70000</v>
      </c>
      <c r="I37" s="12">
        <f t="shared" si="3"/>
        <v>50000</v>
      </c>
    </row>
    <row r="38" spans="1:9" x14ac:dyDescent="0.3">
      <c r="A38" s="24">
        <v>46127</v>
      </c>
      <c r="B38" s="9" t="s">
        <v>11</v>
      </c>
      <c r="C38" s="7" t="s">
        <v>31</v>
      </c>
      <c r="D38" s="7" t="s">
        <v>26</v>
      </c>
      <c r="E38" s="7">
        <v>1</v>
      </c>
      <c r="F38" s="10">
        <v>60000</v>
      </c>
      <c r="G38" s="10">
        <f t="shared" si="2"/>
        <v>60000</v>
      </c>
      <c r="H38" s="10">
        <f>IFERROR(E38*_xlfn.XLOOKUP(D38,Stok_Baju!B:B,Stok_Baju!D:D),0)</f>
        <v>40000</v>
      </c>
      <c r="I38" s="10">
        <f t="shared" si="3"/>
        <v>20000</v>
      </c>
    </row>
    <row r="39" spans="1:9" x14ac:dyDescent="0.3">
      <c r="A39" s="26">
        <v>46128</v>
      </c>
      <c r="B39" s="11" t="s">
        <v>30</v>
      </c>
      <c r="C39" s="8" t="s">
        <v>9</v>
      </c>
      <c r="D39" s="8" t="s">
        <v>8</v>
      </c>
      <c r="E39" s="8">
        <v>1</v>
      </c>
      <c r="F39" s="12">
        <v>0</v>
      </c>
      <c r="G39" s="12">
        <f t="shared" si="2"/>
        <v>0</v>
      </c>
      <c r="H39" s="12">
        <f>IFERROR(E39*_xlfn.XLOOKUP(D39,Stok_Baju!B:B,Stok_Baju!D:D),0)</f>
        <v>21666.666666666668</v>
      </c>
      <c r="I39" s="12">
        <f t="shared" si="3"/>
        <v>-21666.666666666668</v>
      </c>
    </row>
    <row r="40" spans="1:9" x14ac:dyDescent="0.3">
      <c r="A40" s="24">
        <v>46128</v>
      </c>
      <c r="B40" s="9" t="s">
        <v>30</v>
      </c>
      <c r="C40" s="7" t="s">
        <v>9</v>
      </c>
      <c r="D40" s="7" t="s">
        <v>8</v>
      </c>
      <c r="E40" s="7">
        <v>1</v>
      </c>
      <c r="F40" s="10">
        <v>50000</v>
      </c>
      <c r="G40" s="10">
        <f t="shared" si="2"/>
        <v>50000</v>
      </c>
      <c r="H40" s="10">
        <f>IFERROR(E40*_xlfn.XLOOKUP(D40,Stok_Baju!B:B,Stok_Baju!D:D),0)</f>
        <v>21666.666666666668</v>
      </c>
      <c r="I40" s="10">
        <f t="shared" si="3"/>
        <v>28333.333333333332</v>
      </c>
    </row>
    <row r="41" spans="1:9" x14ac:dyDescent="0.3">
      <c r="A41" s="25">
        <v>46128</v>
      </c>
      <c r="B41" s="11" t="s">
        <v>30</v>
      </c>
      <c r="C41" s="8" t="s">
        <v>12</v>
      </c>
      <c r="D41" s="8" t="s">
        <v>10</v>
      </c>
      <c r="E41" s="8">
        <v>4</v>
      </c>
      <c r="F41" s="12">
        <v>50000</v>
      </c>
      <c r="G41" s="12">
        <f t="shared" si="2"/>
        <v>200000</v>
      </c>
      <c r="H41" s="12">
        <f>IFERROR(E41*_xlfn.XLOOKUP(D41,Stok_Baju!B:B,Stok_Baju!D:D),0)</f>
        <v>91666.666666666672</v>
      </c>
      <c r="I41" s="12">
        <f t="shared" si="3"/>
        <v>108333.33333333333</v>
      </c>
    </row>
    <row r="42" spans="1:9" x14ac:dyDescent="0.3">
      <c r="A42" s="24">
        <v>46128</v>
      </c>
      <c r="B42" s="9" t="s">
        <v>30</v>
      </c>
      <c r="C42" s="7" t="s">
        <v>15</v>
      </c>
      <c r="D42" s="7" t="s">
        <v>14</v>
      </c>
      <c r="E42" s="7">
        <v>7</v>
      </c>
      <c r="F42" s="10">
        <v>50000</v>
      </c>
      <c r="G42" s="10">
        <f t="shared" si="2"/>
        <v>350000</v>
      </c>
      <c r="H42" s="10">
        <f>IFERROR(E42*_xlfn.XLOOKUP(D42,Stok_Baju!B:B,Stok_Baju!D:D),0)</f>
        <v>166250</v>
      </c>
      <c r="I42" s="10">
        <f t="shared" si="3"/>
        <v>183750</v>
      </c>
    </row>
    <row r="43" spans="1:9" x14ac:dyDescent="0.3">
      <c r="A43" s="25">
        <v>46128</v>
      </c>
      <c r="B43" s="11" t="s">
        <v>30</v>
      </c>
      <c r="C43" s="8" t="s">
        <v>6</v>
      </c>
      <c r="D43" s="8" t="s">
        <v>17</v>
      </c>
      <c r="E43" s="8">
        <v>6</v>
      </c>
      <c r="F43" s="12">
        <v>50000</v>
      </c>
      <c r="G43" s="12">
        <f t="shared" si="2"/>
        <v>300000</v>
      </c>
      <c r="H43" s="12">
        <f>IFERROR(E43*_xlfn.XLOOKUP(D43,Stok_Baju!B:B,Stok_Baju!D:D),0)</f>
        <v>152500</v>
      </c>
      <c r="I43" s="12">
        <f t="shared" si="3"/>
        <v>147500</v>
      </c>
    </row>
    <row r="44" spans="1:9" x14ac:dyDescent="0.3">
      <c r="A44" s="24">
        <v>46128</v>
      </c>
      <c r="B44" s="9" t="s">
        <v>18</v>
      </c>
      <c r="C44" s="7" t="s">
        <v>9</v>
      </c>
      <c r="D44" s="7" t="s">
        <v>19</v>
      </c>
      <c r="E44" s="7">
        <v>5</v>
      </c>
      <c r="F44" s="10">
        <v>45000</v>
      </c>
      <c r="G44" s="10">
        <f t="shared" si="2"/>
        <v>225000</v>
      </c>
      <c r="H44" s="10">
        <f>IFERROR(E44*_xlfn.XLOOKUP(D44,Stok_Baju!B:B,Stok_Baju!D:D),0)</f>
        <v>85416.666666666657</v>
      </c>
      <c r="I44" s="10">
        <f t="shared" si="3"/>
        <v>139583.33333333334</v>
      </c>
    </row>
    <row r="45" spans="1:9" x14ac:dyDescent="0.3">
      <c r="A45" s="25">
        <v>46128</v>
      </c>
      <c r="B45" s="11" t="s">
        <v>18</v>
      </c>
      <c r="C45" s="8" t="s">
        <v>12</v>
      </c>
      <c r="D45" s="8" t="s">
        <v>22</v>
      </c>
      <c r="E45" s="8">
        <v>9</v>
      </c>
      <c r="F45" s="12">
        <v>45000</v>
      </c>
      <c r="G45" s="12">
        <f t="shared" si="2"/>
        <v>405000</v>
      </c>
      <c r="H45" s="12">
        <f>IFERROR(E45*_xlfn.XLOOKUP(D45,Stok_Baju!B:B,Stok_Baju!D:D),0)</f>
        <v>165000</v>
      </c>
      <c r="I45" s="12">
        <f t="shared" si="3"/>
        <v>240000</v>
      </c>
    </row>
    <row r="46" spans="1:9" x14ac:dyDescent="0.3">
      <c r="A46" s="24">
        <v>46128</v>
      </c>
      <c r="B46" s="9" t="s">
        <v>18</v>
      </c>
      <c r="C46" s="7" t="s">
        <v>15</v>
      </c>
      <c r="D46" s="7" t="s">
        <v>23</v>
      </c>
      <c r="E46" s="7">
        <v>7</v>
      </c>
      <c r="F46" s="10">
        <v>45000</v>
      </c>
      <c r="G46" s="10">
        <f t="shared" si="2"/>
        <v>315000</v>
      </c>
      <c r="H46" s="10">
        <f>IFERROR(E46*_xlfn.XLOOKUP(D46,Stok_Baju!B:B,Stok_Baju!D:D),0)</f>
        <v>137083.33333333331</v>
      </c>
      <c r="I46" s="10">
        <f t="shared" si="3"/>
        <v>177916.66666666669</v>
      </c>
    </row>
    <row r="47" spans="1:9" x14ac:dyDescent="0.3">
      <c r="A47" s="25">
        <v>46128</v>
      </c>
      <c r="B47" s="11" t="s">
        <v>18</v>
      </c>
      <c r="C47" s="8" t="s">
        <v>6</v>
      </c>
      <c r="D47" s="8" t="s">
        <v>7</v>
      </c>
      <c r="E47" s="8">
        <v>2</v>
      </c>
      <c r="F47" s="12">
        <v>45000</v>
      </c>
      <c r="G47" s="12">
        <f t="shared" si="2"/>
        <v>90000</v>
      </c>
      <c r="H47" s="12">
        <f>IFERROR(E47*_xlfn.XLOOKUP(D47,Stok_Baju!B:B,Stok_Baju!D:D),0)</f>
        <v>41666.666666666664</v>
      </c>
      <c r="I47" s="12">
        <f t="shared" si="3"/>
        <v>48333.333333333336</v>
      </c>
    </row>
    <row r="48" spans="1:9" x14ac:dyDescent="0.3">
      <c r="A48" s="24">
        <v>46128</v>
      </c>
      <c r="B48" s="9" t="s">
        <v>18</v>
      </c>
      <c r="C48" s="7" t="s">
        <v>31</v>
      </c>
      <c r="D48" s="7" t="s">
        <v>24</v>
      </c>
      <c r="E48" s="7">
        <v>1</v>
      </c>
      <c r="F48" s="10">
        <v>50000</v>
      </c>
      <c r="G48" s="10">
        <f t="shared" si="2"/>
        <v>50000</v>
      </c>
      <c r="H48" s="10">
        <f>IFERROR(E48*_xlfn.XLOOKUP(D48,Stok_Baju!B:B,Stok_Baju!D:D),0)</f>
        <v>24166.666666666668</v>
      </c>
      <c r="I48" s="10">
        <f t="shared" si="3"/>
        <v>25833.333333333332</v>
      </c>
    </row>
    <row r="49" spans="1:9" x14ac:dyDescent="0.3">
      <c r="A49" s="25">
        <v>46128</v>
      </c>
      <c r="B49" s="11" t="s">
        <v>11</v>
      </c>
      <c r="C49" s="8" t="s">
        <v>15</v>
      </c>
      <c r="D49" s="8" t="s">
        <v>25</v>
      </c>
      <c r="E49" s="8">
        <v>2</v>
      </c>
      <c r="F49" s="12">
        <v>50000</v>
      </c>
      <c r="G49" s="12">
        <f t="shared" si="2"/>
        <v>100000</v>
      </c>
      <c r="H49" s="12">
        <f>IFERROR(E49*_xlfn.XLOOKUP(D49,Stok_Baju!B:B,Stok_Baju!D:D),0)</f>
        <v>65833.333333333328</v>
      </c>
      <c r="I49" s="12">
        <f t="shared" si="3"/>
        <v>34166.666666666672</v>
      </c>
    </row>
    <row r="50" spans="1:9" x14ac:dyDescent="0.3">
      <c r="A50" s="24">
        <v>46128</v>
      </c>
      <c r="B50" s="9" t="s">
        <v>11</v>
      </c>
      <c r="C50" s="7" t="s">
        <v>15</v>
      </c>
      <c r="D50" s="7" t="s">
        <v>25</v>
      </c>
      <c r="E50" s="7">
        <v>1</v>
      </c>
      <c r="F50" s="10">
        <v>60000</v>
      </c>
      <c r="G50" s="10">
        <f t="shared" si="2"/>
        <v>60000</v>
      </c>
      <c r="H50" s="10">
        <f>IFERROR(E50*_xlfn.XLOOKUP(D50,Stok_Baju!B:B,Stok_Baju!D:D),0)</f>
        <v>32916.666666666664</v>
      </c>
      <c r="I50" s="10">
        <f t="shared" si="3"/>
        <v>27083.333333333336</v>
      </c>
    </row>
    <row r="51" spans="1:9" x14ac:dyDescent="0.3">
      <c r="A51" s="25">
        <v>46128</v>
      </c>
      <c r="B51" s="11" t="s">
        <v>11</v>
      </c>
      <c r="C51" s="8" t="s">
        <v>6</v>
      </c>
      <c r="D51" s="8" t="s">
        <v>16</v>
      </c>
      <c r="E51" s="8">
        <v>2</v>
      </c>
      <c r="F51" s="12">
        <v>60000</v>
      </c>
      <c r="G51" s="12">
        <f t="shared" si="2"/>
        <v>120000</v>
      </c>
      <c r="H51" s="12">
        <f>IFERROR(E51*_xlfn.XLOOKUP(D51,Stok_Baju!B:B,Stok_Baju!D:D),0)</f>
        <v>70833.333333333328</v>
      </c>
      <c r="I51" s="12">
        <f t="shared" si="3"/>
        <v>49166.666666666672</v>
      </c>
    </row>
    <row r="52" spans="1:9" x14ac:dyDescent="0.3">
      <c r="A52" s="24">
        <v>46128</v>
      </c>
      <c r="B52" s="9" t="s">
        <v>11</v>
      </c>
      <c r="C52" s="7" t="s">
        <v>31</v>
      </c>
      <c r="D52" s="7" t="s">
        <v>26</v>
      </c>
      <c r="E52" s="7">
        <v>2</v>
      </c>
      <c r="F52" s="10">
        <v>60000</v>
      </c>
      <c r="G52" s="10">
        <f t="shared" si="2"/>
        <v>120000</v>
      </c>
      <c r="H52" s="10">
        <f>IFERROR(E52*_xlfn.XLOOKUP(D52,Stok_Baju!B:B,Stok_Baju!D:D),0)</f>
        <v>80000</v>
      </c>
      <c r="I52" s="10">
        <f t="shared" si="3"/>
        <v>40000</v>
      </c>
    </row>
    <row r="53" spans="1:9" x14ac:dyDescent="0.3">
      <c r="A53" s="25">
        <v>46128</v>
      </c>
      <c r="B53" s="11" t="s">
        <v>33</v>
      </c>
      <c r="C53" s="8"/>
      <c r="D53" s="8" t="s">
        <v>35</v>
      </c>
      <c r="E53" s="8">
        <v>2</v>
      </c>
      <c r="F53" s="12">
        <v>45000</v>
      </c>
      <c r="G53" s="12">
        <f t="shared" si="2"/>
        <v>90000</v>
      </c>
      <c r="H53" s="12">
        <f>IFERROR(E53*_xlfn.XLOOKUP(D53,Stok_Baju!B:B,Stok_Baju!D:D),0)</f>
        <v>65000</v>
      </c>
      <c r="I53" s="12">
        <f t="shared" si="3"/>
        <v>25000</v>
      </c>
    </row>
    <row r="54" spans="1:9" x14ac:dyDescent="0.3">
      <c r="A54" s="24">
        <v>46128</v>
      </c>
      <c r="B54" s="9" t="s">
        <v>20</v>
      </c>
      <c r="C54" s="7"/>
      <c r="D54" s="7" t="s">
        <v>21</v>
      </c>
      <c r="E54" s="7">
        <v>5</v>
      </c>
      <c r="F54" s="10">
        <v>60000</v>
      </c>
      <c r="G54" s="10">
        <f t="shared" si="2"/>
        <v>300000</v>
      </c>
      <c r="H54" s="10">
        <f>IFERROR(E54*_xlfn.XLOOKUP(D54,Stok_Baju!B:B,Stok_Baju!D:D),0)</f>
        <v>175000</v>
      </c>
      <c r="I54" s="10">
        <f t="shared" si="3"/>
        <v>125000</v>
      </c>
    </row>
    <row r="55" spans="1:9" x14ac:dyDescent="0.3">
      <c r="A55" s="25">
        <v>46129</v>
      </c>
      <c r="B55" s="11" t="s">
        <v>30</v>
      </c>
      <c r="C55" s="8" t="s">
        <v>9</v>
      </c>
      <c r="D55" s="8" t="s">
        <v>8</v>
      </c>
      <c r="E55" s="8">
        <v>1</v>
      </c>
      <c r="F55" s="12">
        <v>50000</v>
      </c>
      <c r="G55" s="12">
        <f t="shared" si="2"/>
        <v>50000</v>
      </c>
      <c r="H55" s="12">
        <f>IFERROR(E55*_xlfn.XLOOKUP(D55,Stok_Baju!B:B,Stok_Baju!D:D),0)</f>
        <v>21666.666666666668</v>
      </c>
      <c r="I55" s="12">
        <f t="shared" si="3"/>
        <v>28333.333333333332</v>
      </c>
    </row>
    <row r="56" spans="1:9" x14ac:dyDescent="0.3">
      <c r="A56" s="24">
        <v>46130</v>
      </c>
      <c r="B56" s="9" t="s">
        <v>30</v>
      </c>
      <c r="C56" s="7" t="s">
        <v>9</v>
      </c>
      <c r="D56" s="7" t="s">
        <v>8</v>
      </c>
      <c r="E56" s="7">
        <v>1</v>
      </c>
      <c r="F56" s="10">
        <v>45000</v>
      </c>
      <c r="G56" s="10">
        <f t="shared" si="2"/>
        <v>45000</v>
      </c>
      <c r="H56" s="10">
        <f>IFERROR(E56*_xlfn.XLOOKUP(D56,Stok_Baju!B:B,Stok_Baju!D:D),0)</f>
        <v>21666.666666666668</v>
      </c>
      <c r="I56" s="10">
        <f t="shared" si="3"/>
        <v>23333.333333333332</v>
      </c>
    </row>
    <row r="57" spans="1:9" x14ac:dyDescent="0.3">
      <c r="A57" s="25">
        <v>46130</v>
      </c>
      <c r="B57" s="11" t="s">
        <v>30</v>
      </c>
      <c r="C57" s="8" t="s">
        <v>15</v>
      </c>
      <c r="D57" s="8" t="s">
        <v>14</v>
      </c>
      <c r="E57" s="8">
        <v>1</v>
      </c>
      <c r="F57" s="12">
        <v>45000</v>
      </c>
      <c r="G57" s="12">
        <f t="shared" si="2"/>
        <v>45000</v>
      </c>
      <c r="H57" s="12">
        <f>IFERROR(E57*_xlfn.XLOOKUP(D57,Stok_Baju!B:B,Stok_Baju!D:D),0)</f>
        <v>23750</v>
      </c>
      <c r="I57" s="12">
        <f t="shared" si="3"/>
        <v>21250</v>
      </c>
    </row>
    <row r="58" spans="1:9" x14ac:dyDescent="0.3">
      <c r="A58" s="24">
        <v>46130</v>
      </c>
      <c r="B58" s="9" t="s">
        <v>30</v>
      </c>
      <c r="C58" s="7" t="s">
        <v>6</v>
      </c>
      <c r="D58" s="7" t="s">
        <v>17</v>
      </c>
      <c r="E58" s="7">
        <v>1</v>
      </c>
      <c r="F58" s="10">
        <v>50000</v>
      </c>
      <c r="G58" s="10">
        <f t="shared" si="2"/>
        <v>50000</v>
      </c>
      <c r="H58" s="10">
        <f>IFERROR(E58*_xlfn.XLOOKUP(D58,Stok_Baju!B:B,Stok_Baju!D:D),0)</f>
        <v>25416.666666666668</v>
      </c>
      <c r="I58" s="10">
        <f t="shared" si="3"/>
        <v>24583.333333333332</v>
      </c>
    </row>
    <row r="59" spans="1:9" x14ac:dyDescent="0.3">
      <c r="A59" s="25">
        <v>46130</v>
      </c>
      <c r="B59" s="11" t="s">
        <v>18</v>
      </c>
      <c r="C59" s="8" t="s">
        <v>15</v>
      </c>
      <c r="D59" s="8" t="s">
        <v>23</v>
      </c>
      <c r="E59" s="8">
        <v>1</v>
      </c>
      <c r="F59" s="12">
        <v>45000</v>
      </c>
      <c r="G59" s="12">
        <f t="shared" si="2"/>
        <v>45000</v>
      </c>
      <c r="H59" s="12">
        <f>IFERROR(E59*_xlfn.XLOOKUP(D59,Stok_Baju!B:B,Stok_Baju!D:D),0)</f>
        <v>19583.333333333332</v>
      </c>
      <c r="I59" s="12">
        <f t="shared" si="3"/>
        <v>25416.666666666668</v>
      </c>
    </row>
    <row r="60" spans="1:9" x14ac:dyDescent="0.3">
      <c r="A60" s="24">
        <v>46130</v>
      </c>
      <c r="B60" s="9" t="s">
        <v>18</v>
      </c>
      <c r="C60" s="7" t="s">
        <v>34</v>
      </c>
      <c r="D60" s="7" t="s">
        <v>19</v>
      </c>
      <c r="E60" s="7">
        <v>1</v>
      </c>
      <c r="F60" s="10">
        <v>40000</v>
      </c>
      <c r="G60" s="10">
        <f t="shared" si="2"/>
        <v>40000</v>
      </c>
      <c r="H60" s="10">
        <f>IFERROR(E60*_xlfn.XLOOKUP(D60,Stok_Baju!B:B,Stok_Baju!D:D),0)</f>
        <v>17083.333333333332</v>
      </c>
      <c r="I60" s="10">
        <f t="shared" si="3"/>
        <v>22916.666666666668</v>
      </c>
    </row>
    <row r="61" spans="1:9" x14ac:dyDescent="0.3">
      <c r="A61" s="25">
        <v>46130</v>
      </c>
      <c r="B61" s="11" t="s">
        <v>11</v>
      </c>
      <c r="C61" s="8" t="s">
        <v>12</v>
      </c>
      <c r="D61" s="8" t="s">
        <v>13</v>
      </c>
      <c r="E61" s="8">
        <v>1</v>
      </c>
      <c r="F61" s="12">
        <v>60000</v>
      </c>
      <c r="G61" s="12">
        <f t="shared" si="2"/>
        <v>60000</v>
      </c>
      <c r="H61" s="12">
        <f>IFERROR(E61*_xlfn.XLOOKUP(D61,Stok_Baju!B:B,Stok_Baju!D:D),0)</f>
        <v>31250</v>
      </c>
      <c r="I61" s="12">
        <f t="shared" si="3"/>
        <v>28750</v>
      </c>
    </row>
    <row r="62" spans="1:9" x14ac:dyDescent="0.3">
      <c r="A62" s="24">
        <v>46130</v>
      </c>
      <c r="B62" s="9" t="s">
        <v>30</v>
      </c>
      <c r="C62" s="7" t="s">
        <v>15</v>
      </c>
      <c r="D62" s="7" t="s">
        <v>14</v>
      </c>
      <c r="E62" s="7">
        <v>1</v>
      </c>
      <c r="F62" s="10">
        <v>45000</v>
      </c>
      <c r="G62" s="10">
        <f t="shared" si="2"/>
        <v>45000</v>
      </c>
      <c r="H62" s="10">
        <f>IFERROR(E62*_xlfn.XLOOKUP(D62,Stok_Baju!B:B,Stok_Baju!D:D),0)</f>
        <v>23750</v>
      </c>
      <c r="I62" s="10">
        <f t="shared" si="3"/>
        <v>21250</v>
      </c>
    </row>
    <row r="63" spans="1:9" x14ac:dyDescent="0.3">
      <c r="A63" s="25">
        <v>46130</v>
      </c>
      <c r="B63" s="11" t="s">
        <v>30</v>
      </c>
      <c r="C63" s="8" t="s">
        <v>9</v>
      </c>
      <c r="D63" s="8" t="s">
        <v>8</v>
      </c>
      <c r="E63" s="8">
        <v>2</v>
      </c>
      <c r="F63" s="12">
        <v>45000</v>
      </c>
      <c r="G63" s="12">
        <f t="shared" si="2"/>
        <v>90000</v>
      </c>
      <c r="H63" s="12">
        <f>IFERROR(E63*_xlfn.XLOOKUP(D63,Stok_Baju!B:B,Stok_Baju!D:D),0)</f>
        <v>43333.333333333336</v>
      </c>
      <c r="I63" s="12">
        <f t="shared" si="3"/>
        <v>46666.666666666664</v>
      </c>
    </row>
    <row r="64" spans="1:9" x14ac:dyDescent="0.3">
      <c r="A64" s="24">
        <v>46133</v>
      </c>
      <c r="B64" s="9" t="s">
        <v>30</v>
      </c>
      <c r="C64" s="7" t="s">
        <v>15</v>
      </c>
      <c r="D64" s="7" t="s">
        <v>14</v>
      </c>
      <c r="E64" s="7">
        <v>1</v>
      </c>
      <c r="F64" s="10">
        <v>50000</v>
      </c>
      <c r="G64" s="10">
        <f t="shared" si="2"/>
        <v>50000</v>
      </c>
      <c r="H64" s="10">
        <f>IFERROR(E64*_xlfn.XLOOKUP(D64,Stok_Baju!B:B,Stok_Baju!D:D),0)</f>
        <v>23750</v>
      </c>
      <c r="I64" s="10">
        <f t="shared" si="3"/>
        <v>26250</v>
      </c>
    </row>
    <row r="65" spans="1:9" x14ac:dyDescent="0.3">
      <c r="A65" s="25">
        <v>46133</v>
      </c>
      <c r="B65" s="11" t="s">
        <v>30</v>
      </c>
      <c r="C65" s="8" t="s">
        <v>12</v>
      </c>
      <c r="D65" s="8" t="s">
        <v>10</v>
      </c>
      <c r="E65" s="8">
        <v>1</v>
      </c>
      <c r="F65" s="12">
        <v>50000</v>
      </c>
      <c r="G65" s="12">
        <f t="shared" si="2"/>
        <v>50000</v>
      </c>
      <c r="H65" s="12">
        <f>IFERROR(E65*_xlfn.XLOOKUP(D65,Stok_Baju!B:B,Stok_Baju!D:D),0)</f>
        <v>22916.666666666668</v>
      </c>
      <c r="I65" s="12">
        <f t="shared" si="3"/>
        <v>27083.333333333332</v>
      </c>
    </row>
    <row r="66" spans="1:9" x14ac:dyDescent="0.3">
      <c r="A66" s="24">
        <v>46136</v>
      </c>
      <c r="B66" s="9" t="s">
        <v>30</v>
      </c>
      <c r="C66" s="7" t="s">
        <v>9</v>
      </c>
      <c r="D66" s="7" t="s">
        <v>8</v>
      </c>
      <c r="E66" s="7">
        <v>5</v>
      </c>
      <c r="F66" s="10">
        <v>50000</v>
      </c>
      <c r="G66" s="10">
        <f t="shared" si="2"/>
        <v>250000</v>
      </c>
      <c r="H66" s="10">
        <f>IFERROR(E66*_xlfn.XLOOKUP(D66,Stok_Baju!B:B,Stok_Baju!D:D),0)</f>
        <v>108333.33333333334</v>
      </c>
      <c r="I66" s="10">
        <f t="shared" si="3"/>
        <v>141666.66666666666</v>
      </c>
    </row>
    <row r="67" spans="1:9" x14ac:dyDescent="0.3">
      <c r="A67" s="25">
        <v>46136</v>
      </c>
      <c r="B67" s="11" t="s">
        <v>30</v>
      </c>
      <c r="C67" s="8" t="s">
        <v>12</v>
      </c>
      <c r="D67" s="8" t="s">
        <v>10</v>
      </c>
      <c r="E67" s="8">
        <v>8</v>
      </c>
      <c r="F67" s="12">
        <v>50000</v>
      </c>
      <c r="G67" s="12">
        <f t="shared" si="2"/>
        <v>400000</v>
      </c>
      <c r="H67" s="12">
        <f>IFERROR(E67*_xlfn.XLOOKUP(D67,Stok_Baju!B:B,Stok_Baju!D:D),0)</f>
        <v>183333.33333333334</v>
      </c>
      <c r="I67" s="12">
        <f t="shared" si="3"/>
        <v>216666.66666666666</v>
      </c>
    </row>
    <row r="68" spans="1:9" x14ac:dyDescent="0.3">
      <c r="A68" s="24">
        <v>46136</v>
      </c>
      <c r="B68" s="9" t="s">
        <v>30</v>
      </c>
      <c r="C68" s="7" t="s">
        <v>15</v>
      </c>
      <c r="D68" s="7" t="s">
        <v>14</v>
      </c>
      <c r="E68" s="7">
        <v>5</v>
      </c>
      <c r="F68" s="10">
        <v>50000</v>
      </c>
      <c r="G68" s="10">
        <f t="shared" si="2"/>
        <v>250000</v>
      </c>
      <c r="H68" s="10">
        <f>IFERROR(E68*_xlfn.XLOOKUP(D68,Stok_Baju!B:B,Stok_Baju!D:D),0)</f>
        <v>118750</v>
      </c>
      <c r="I68" s="10">
        <f t="shared" si="3"/>
        <v>131250</v>
      </c>
    </row>
    <row r="69" spans="1:9" x14ac:dyDescent="0.3">
      <c r="A69" s="25">
        <v>46136</v>
      </c>
      <c r="B69" s="11" t="s">
        <v>30</v>
      </c>
      <c r="C69" s="8" t="s">
        <v>6</v>
      </c>
      <c r="D69" s="8" t="s">
        <v>17</v>
      </c>
      <c r="E69" s="8">
        <v>8</v>
      </c>
      <c r="F69" s="12">
        <v>50000</v>
      </c>
      <c r="G69" s="12">
        <f t="shared" si="2"/>
        <v>400000</v>
      </c>
      <c r="H69" s="12">
        <f>IFERROR(E69*_xlfn.XLOOKUP(D69,Stok_Baju!B:B,Stok_Baju!D:D),0)</f>
        <v>203333.33333333334</v>
      </c>
      <c r="I69" s="12">
        <f t="shared" si="3"/>
        <v>196666.66666666666</v>
      </c>
    </row>
    <row r="70" spans="1:9" x14ac:dyDescent="0.3">
      <c r="A70" s="24">
        <v>46136</v>
      </c>
      <c r="B70" s="9" t="s">
        <v>18</v>
      </c>
      <c r="C70" s="7" t="s">
        <v>9</v>
      </c>
      <c r="D70" s="7" t="s">
        <v>19</v>
      </c>
      <c r="E70" s="7">
        <v>3</v>
      </c>
      <c r="F70" s="10">
        <v>45000</v>
      </c>
      <c r="G70" s="10">
        <f t="shared" si="2"/>
        <v>135000</v>
      </c>
      <c r="H70" s="10">
        <f>IFERROR(E70*_xlfn.XLOOKUP(D70,Stok_Baju!B:B,Stok_Baju!D:D),0)</f>
        <v>51250</v>
      </c>
      <c r="I70" s="10">
        <f t="shared" si="3"/>
        <v>83750</v>
      </c>
    </row>
    <row r="71" spans="1:9" x14ac:dyDescent="0.3">
      <c r="A71" s="25">
        <v>46136</v>
      </c>
      <c r="B71" s="11" t="s">
        <v>18</v>
      </c>
      <c r="C71" s="8" t="s">
        <v>12</v>
      </c>
      <c r="D71" s="8" t="s">
        <v>22</v>
      </c>
      <c r="E71" s="8">
        <v>3</v>
      </c>
      <c r="F71" s="12">
        <v>45000</v>
      </c>
      <c r="G71" s="12">
        <f t="shared" si="2"/>
        <v>135000</v>
      </c>
      <c r="H71" s="12">
        <f>IFERROR(E71*_xlfn.XLOOKUP(D71,Stok_Baju!B:B,Stok_Baju!D:D),0)</f>
        <v>55000</v>
      </c>
      <c r="I71" s="12">
        <f t="shared" si="3"/>
        <v>80000</v>
      </c>
    </row>
    <row r="72" spans="1:9" x14ac:dyDescent="0.3">
      <c r="A72" s="24">
        <v>46136</v>
      </c>
      <c r="B72" s="9" t="s">
        <v>11</v>
      </c>
      <c r="C72" s="7" t="s">
        <v>12</v>
      </c>
      <c r="D72" s="7" t="s">
        <v>13</v>
      </c>
      <c r="E72" s="7">
        <v>1</v>
      </c>
      <c r="F72" s="10">
        <v>60000</v>
      </c>
      <c r="G72" s="10">
        <f t="shared" si="2"/>
        <v>60000</v>
      </c>
      <c r="H72" s="10">
        <f>IFERROR(E72*_xlfn.XLOOKUP(D72,Stok_Baju!B:B,Stok_Baju!D:D),0)</f>
        <v>31250</v>
      </c>
      <c r="I72" s="10">
        <f t="shared" si="3"/>
        <v>28750</v>
      </c>
    </row>
    <row r="73" spans="1:9" x14ac:dyDescent="0.3">
      <c r="A73" s="25">
        <v>46136</v>
      </c>
      <c r="B73" s="11" t="s">
        <v>11</v>
      </c>
      <c r="C73" s="8" t="s">
        <v>15</v>
      </c>
      <c r="D73" s="8" t="s">
        <v>25</v>
      </c>
      <c r="E73" s="8">
        <v>4</v>
      </c>
      <c r="F73" s="12">
        <v>60000</v>
      </c>
      <c r="G73" s="12">
        <f t="shared" si="2"/>
        <v>240000</v>
      </c>
      <c r="H73" s="12">
        <f>IFERROR(E73*_xlfn.XLOOKUP(D73,Stok_Baju!B:B,Stok_Baju!D:D),0)</f>
        <v>131666.66666666666</v>
      </c>
      <c r="I73" s="12">
        <f t="shared" si="3"/>
        <v>108333.33333333334</v>
      </c>
    </row>
    <row r="74" spans="1:9" x14ac:dyDescent="0.3">
      <c r="A74" s="24">
        <v>46136</v>
      </c>
      <c r="B74" s="9" t="s">
        <v>11</v>
      </c>
      <c r="C74" s="7" t="s">
        <v>6</v>
      </c>
      <c r="D74" s="7" t="s">
        <v>16</v>
      </c>
      <c r="E74" s="7">
        <v>2</v>
      </c>
      <c r="F74" s="10">
        <v>60000</v>
      </c>
      <c r="G74" s="10">
        <f t="shared" ref="G74:G112" si="4">IF(OR(E74="",F74=""),"",E74*F74)</f>
        <v>120000</v>
      </c>
      <c r="H74" s="10">
        <f>IFERROR(E74*_xlfn.XLOOKUP(D74,Stok_Baju!B:B,Stok_Baju!D:D),0)</f>
        <v>70833.333333333328</v>
      </c>
      <c r="I74" s="10">
        <f t="shared" ref="I74:I109" si="5">IF(G74="","",G74-H74)</f>
        <v>49166.666666666672</v>
      </c>
    </row>
    <row r="75" spans="1:9" x14ac:dyDescent="0.3">
      <c r="A75" s="25">
        <v>46136</v>
      </c>
      <c r="B75" s="11" t="s">
        <v>11</v>
      </c>
      <c r="C75" s="8" t="s">
        <v>31</v>
      </c>
      <c r="D75" s="8" t="s">
        <v>26</v>
      </c>
      <c r="E75" s="8">
        <v>1</v>
      </c>
      <c r="F75" s="12">
        <v>60000</v>
      </c>
      <c r="G75" s="12">
        <f t="shared" si="4"/>
        <v>60000</v>
      </c>
      <c r="H75" s="12">
        <f>IFERROR(E75*_xlfn.XLOOKUP(D75,Stok_Baju!B:B,Stok_Baju!D:D),0)</f>
        <v>40000</v>
      </c>
      <c r="I75" s="12">
        <f t="shared" si="5"/>
        <v>20000</v>
      </c>
    </row>
    <row r="76" spans="1:9" x14ac:dyDescent="0.3">
      <c r="A76" s="24">
        <v>46136</v>
      </c>
      <c r="B76" s="9" t="s">
        <v>33</v>
      </c>
      <c r="C76" s="7"/>
      <c r="D76" s="7" t="s">
        <v>35</v>
      </c>
      <c r="E76" s="7">
        <v>1</v>
      </c>
      <c r="F76" s="10">
        <v>45000</v>
      </c>
      <c r="G76" s="10">
        <f t="shared" si="4"/>
        <v>45000</v>
      </c>
      <c r="H76" s="10">
        <f>IFERROR(E76*_xlfn.XLOOKUP(D76,Stok_Baju!B:B,Stok_Baju!D:D),0)</f>
        <v>32500</v>
      </c>
      <c r="I76" s="10">
        <f t="shared" si="5"/>
        <v>12500</v>
      </c>
    </row>
    <row r="77" spans="1:9" x14ac:dyDescent="0.3">
      <c r="A77" s="25">
        <v>46141</v>
      </c>
      <c r="B77" s="11" t="s">
        <v>30</v>
      </c>
      <c r="C77" s="8" t="s">
        <v>9</v>
      </c>
      <c r="D77" s="8" t="s">
        <v>8</v>
      </c>
      <c r="E77" s="8">
        <v>3</v>
      </c>
      <c r="F77" s="12">
        <v>50000</v>
      </c>
      <c r="G77" s="12">
        <f t="shared" si="4"/>
        <v>150000</v>
      </c>
      <c r="H77" s="12">
        <f>IFERROR(E77*_xlfn.XLOOKUP(D77,Stok_Baju!B:B,Stok_Baju!D:D),0)</f>
        <v>65000</v>
      </c>
      <c r="I77" s="12">
        <f t="shared" si="5"/>
        <v>85000</v>
      </c>
    </row>
    <row r="78" spans="1:9" x14ac:dyDescent="0.3">
      <c r="A78" s="24">
        <v>46141</v>
      </c>
      <c r="B78" s="9" t="s">
        <v>30</v>
      </c>
      <c r="C78" s="7" t="s">
        <v>36</v>
      </c>
      <c r="D78" s="7" t="s">
        <v>10</v>
      </c>
      <c r="E78" s="7">
        <v>2</v>
      </c>
      <c r="F78" s="10">
        <v>50000</v>
      </c>
      <c r="G78" s="10">
        <f t="shared" si="4"/>
        <v>100000</v>
      </c>
      <c r="H78" s="10">
        <f>IFERROR(E78*_xlfn.XLOOKUP(D78,Stok_Baju!B:B,Stok_Baju!D:D),0)</f>
        <v>45833.333333333336</v>
      </c>
      <c r="I78" s="10">
        <f t="shared" si="5"/>
        <v>54166.666666666664</v>
      </c>
    </row>
    <row r="79" spans="1:9" x14ac:dyDescent="0.3">
      <c r="A79" s="25">
        <v>46141</v>
      </c>
      <c r="B79" s="11" t="s">
        <v>30</v>
      </c>
      <c r="C79" s="8" t="s">
        <v>37</v>
      </c>
      <c r="D79" s="8" t="s">
        <v>14</v>
      </c>
      <c r="E79" s="8">
        <v>1</v>
      </c>
      <c r="F79" s="12">
        <v>50000</v>
      </c>
      <c r="G79" s="12">
        <f t="shared" si="4"/>
        <v>50000</v>
      </c>
      <c r="H79" s="12">
        <f>IFERROR(E79*_xlfn.XLOOKUP(D79,Stok_Baju!B:B,Stok_Baju!D:D),0)</f>
        <v>23750</v>
      </c>
      <c r="I79" s="12">
        <f t="shared" si="5"/>
        <v>26250</v>
      </c>
    </row>
    <row r="80" spans="1:9" x14ac:dyDescent="0.3">
      <c r="A80" s="24">
        <v>46141</v>
      </c>
      <c r="B80" s="9" t="s">
        <v>30</v>
      </c>
      <c r="C80" s="7" t="s">
        <v>38</v>
      </c>
      <c r="D80" s="7" t="s">
        <v>17</v>
      </c>
      <c r="E80" s="7">
        <v>3</v>
      </c>
      <c r="F80" s="10">
        <v>50000</v>
      </c>
      <c r="G80" s="10">
        <f t="shared" si="4"/>
        <v>150000</v>
      </c>
      <c r="H80" s="10">
        <f>IFERROR(E80*_xlfn.XLOOKUP(D80,Stok_Baju!B:B,Stok_Baju!D:D),0)</f>
        <v>76250</v>
      </c>
      <c r="I80" s="10">
        <f t="shared" si="5"/>
        <v>73750</v>
      </c>
    </row>
    <row r="81" spans="1:9" x14ac:dyDescent="0.3">
      <c r="A81" s="25">
        <v>46141</v>
      </c>
      <c r="B81" s="11" t="s">
        <v>18</v>
      </c>
      <c r="C81" s="8" t="s">
        <v>37</v>
      </c>
      <c r="D81" s="8" t="s">
        <v>23</v>
      </c>
      <c r="E81" s="8">
        <v>2</v>
      </c>
      <c r="F81" s="12">
        <v>45000</v>
      </c>
      <c r="G81" s="12">
        <f t="shared" si="4"/>
        <v>90000</v>
      </c>
      <c r="H81" s="12">
        <f>IFERROR(E81*_xlfn.XLOOKUP(D81,Stok_Baju!B:B,Stok_Baju!D:D),0)</f>
        <v>39166.666666666664</v>
      </c>
      <c r="I81" s="12">
        <f t="shared" si="5"/>
        <v>50833.333333333336</v>
      </c>
    </row>
    <row r="82" spans="1:9" x14ac:dyDescent="0.3">
      <c r="A82" s="24">
        <v>46141</v>
      </c>
      <c r="B82" s="9" t="s">
        <v>18</v>
      </c>
      <c r="C82" s="7" t="s">
        <v>38</v>
      </c>
      <c r="D82" s="7" t="s">
        <v>7</v>
      </c>
      <c r="E82" s="7">
        <v>1</v>
      </c>
      <c r="F82" s="10">
        <v>45000</v>
      </c>
      <c r="G82" s="10">
        <f t="shared" si="4"/>
        <v>45000</v>
      </c>
      <c r="H82" s="10">
        <f>IFERROR(E82*_xlfn.XLOOKUP(D82,Stok_Baju!B:B,Stok_Baju!D:D),0)</f>
        <v>20833.333333333332</v>
      </c>
      <c r="I82" s="10">
        <f t="shared" si="5"/>
        <v>24166.666666666668</v>
      </c>
    </row>
    <row r="83" spans="1:9" x14ac:dyDescent="0.3">
      <c r="A83" s="25">
        <v>46141</v>
      </c>
      <c r="B83" s="11" t="s">
        <v>11</v>
      </c>
      <c r="C83" s="8" t="s">
        <v>38</v>
      </c>
      <c r="D83" s="8" t="s">
        <v>16</v>
      </c>
      <c r="E83" s="8">
        <v>1</v>
      </c>
      <c r="F83" s="12">
        <v>60000</v>
      </c>
      <c r="G83" s="12">
        <f t="shared" si="4"/>
        <v>60000</v>
      </c>
      <c r="H83" s="12">
        <f>IFERROR(E83*_xlfn.XLOOKUP(D83,Stok_Baju!B:B,Stok_Baju!D:D),0)</f>
        <v>35416.666666666664</v>
      </c>
      <c r="I83" s="12">
        <f t="shared" si="5"/>
        <v>24583.333333333336</v>
      </c>
    </row>
    <row r="84" spans="1:9" x14ac:dyDescent="0.3">
      <c r="A84" s="24">
        <v>46141</v>
      </c>
      <c r="B84" s="9" t="s">
        <v>11</v>
      </c>
      <c r="C84" s="7" t="s">
        <v>39</v>
      </c>
      <c r="D84" s="7" t="s">
        <v>26</v>
      </c>
      <c r="E84" s="7">
        <v>1</v>
      </c>
      <c r="F84" s="10">
        <v>60000</v>
      </c>
      <c r="G84" s="10">
        <f t="shared" si="4"/>
        <v>60000</v>
      </c>
      <c r="H84" s="10">
        <f>IFERROR(E84*_xlfn.XLOOKUP(D84,Stok_Baju!B:B,Stok_Baju!D:D),0)</f>
        <v>40000</v>
      </c>
      <c r="I84" s="10">
        <f t="shared" si="5"/>
        <v>20000</v>
      </c>
    </row>
    <row r="85" spans="1:9" x14ac:dyDescent="0.3">
      <c r="A85" s="25">
        <v>46141</v>
      </c>
      <c r="B85" s="11" t="s">
        <v>20</v>
      </c>
      <c r="C85" s="8"/>
      <c r="D85" s="8" t="s">
        <v>21</v>
      </c>
      <c r="E85" s="8">
        <v>1</v>
      </c>
      <c r="F85" s="12">
        <v>60000</v>
      </c>
      <c r="G85" s="12">
        <f t="shared" si="4"/>
        <v>60000</v>
      </c>
      <c r="H85" s="12">
        <f>IFERROR(E85*_xlfn.XLOOKUP(D85,Stok_Baju!B:B,Stok_Baju!D:D),0)</f>
        <v>35000</v>
      </c>
      <c r="I85" s="12">
        <f t="shared" si="5"/>
        <v>25000</v>
      </c>
    </row>
    <row r="86" spans="1:9" x14ac:dyDescent="0.3">
      <c r="A86" s="24">
        <v>46142</v>
      </c>
      <c r="B86" s="9" t="s">
        <v>30</v>
      </c>
      <c r="C86" s="7" t="s">
        <v>9</v>
      </c>
      <c r="D86" s="7" t="s">
        <v>8</v>
      </c>
      <c r="E86" s="7">
        <v>3</v>
      </c>
      <c r="F86" s="10">
        <v>50000</v>
      </c>
      <c r="G86" s="10">
        <f t="shared" si="4"/>
        <v>150000</v>
      </c>
      <c r="H86" s="10">
        <f>IFERROR(E86*_xlfn.XLOOKUP(D86,Stok_Baju!B:B,Stok_Baju!D:D),0)</f>
        <v>65000</v>
      </c>
      <c r="I86" s="10">
        <f t="shared" si="5"/>
        <v>85000</v>
      </c>
    </row>
    <row r="87" spans="1:9" x14ac:dyDescent="0.3">
      <c r="A87" s="25">
        <v>46142</v>
      </c>
      <c r="B87" s="11" t="s">
        <v>30</v>
      </c>
      <c r="C87" s="8" t="s">
        <v>12</v>
      </c>
      <c r="D87" s="8" t="s">
        <v>10</v>
      </c>
      <c r="E87" s="8">
        <v>3</v>
      </c>
      <c r="F87" s="12">
        <v>50000</v>
      </c>
      <c r="G87" s="12">
        <f t="shared" si="4"/>
        <v>150000</v>
      </c>
      <c r="H87" s="12">
        <f>IFERROR(E87*_xlfn.XLOOKUP(D87,Stok_Baju!B:B,Stok_Baju!D:D),0)</f>
        <v>68750</v>
      </c>
      <c r="I87" s="12">
        <f t="shared" si="5"/>
        <v>81250</v>
      </c>
    </row>
    <row r="88" spans="1:9" x14ac:dyDescent="0.3">
      <c r="A88" s="24">
        <v>46142</v>
      </c>
      <c r="B88" s="9" t="s">
        <v>30</v>
      </c>
      <c r="C88" s="7" t="s">
        <v>15</v>
      </c>
      <c r="D88" s="7" t="s">
        <v>14</v>
      </c>
      <c r="E88" s="7">
        <v>5</v>
      </c>
      <c r="F88" s="10">
        <v>50000</v>
      </c>
      <c r="G88" s="10">
        <f t="shared" si="4"/>
        <v>250000</v>
      </c>
      <c r="H88" s="10">
        <f>IFERROR(E88*_xlfn.XLOOKUP(D88,Stok_Baju!B:B,Stok_Baju!D:D),0)</f>
        <v>118750</v>
      </c>
      <c r="I88" s="10">
        <f t="shared" si="5"/>
        <v>131250</v>
      </c>
    </row>
    <row r="89" spans="1:9" x14ac:dyDescent="0.3">
      <c r="A89" s="25">
        <v>46142</v>
      </c>
      <c r="B89" s="11" t="s">
        <v>30</v>
      </c>
      <c r="C89" s="8" t="s">
        <v>6</v>
      </c>
      <c r="D89" s="8" t="s">
        <v>17</v>
      </c>
      <c r="E89" s="8">
        <v>7</v>
      </c>
      <c r="F89" s="12">
        <v>50000</v>
      </c>
      <c r="G89" s="12">
        <f t="shared" si="4"/>
        <v>350000</v>
      </c>
      <c r="H89" s="12">
        <f>IFERROR(E89*_xlfn.XLOOKUP(D89,Stok_Baju!B:B,Stok_Baju!D:D),0)</f>
        <v>177916.66666666669</v>
      </c>
      <c r="I89" s="12">
        <f t="shared" si="5"/>
        <v>172083.33333333331</v>
      </c>
    </row>
    <row r="90" spans="1:9" x14ac:dyDescent="0.3">
      <c r="A90" s="24">
        <v>46142</v>
      </c>
      <c r="B90" s="9" t="s">
        <v>18</v>
      </c>
      <c r="C90" s="7" t="s">
        <v>9</v>
      </c>
      <c r="D90" s="7" t="s">
        <v>19</v>
      </c>
      <c r="E90" s="7">
        <v>2</v>
      </c>
      <c r="F90" s="10">
        <v>45000</v>
      </c>
      <c r="G90" s="10">
        <f t="shared" si="4"/>
        <v>90000</v>
      </c>
      <c r="H90" s="10">
        <f>IFERROR(E90*_xlfn.XLOOKUP(D90,Stok_Baju!B:B,Stok_Baju!D:D),0)</f>
        <v>34166.666666666664</v>
      </c>
      <c r="I90" s="10">
        <f t="shared" si="5"/>
        <v>55833.333333333336</v>
      </c>
    </row>
    <row r="91" spans="1:9" x14ac:dyDescent="0.3">
      <c r="A91" s="25">
        <v>46142</v>
      </c>
      <c r="B91" s="11" t="s">
        <v>18</v>
      </c>
      <c r="C91" s="8" t="s">
        <v>12</v>
      </c>
      <c r="D91" s="8" t="s">
        <v>22</v>
      </c>
      <c r="E91" s="8">
        <v>1</v>
      </c>
      <c r="F91" s="12">
        <v>45000</v>
      </c>
      <c r="G91" s="12">
        <f t="shared" si="4"/>
        <v>45000</v>
      </c>
      <c r="H91" s="12">
        <f>IFERROR(E91*_xlfn.XLOOKUP(D91,Stok_Baju!B:B,Stok_Baju!D:D),0)</f>
        <v>18333.333333333332</v>
      </c>
      <c r="I91" s="12">
        <f t="shared" si="5"/>
        <v>26666.666666666668</v>
      </c>
    </row>
    <row r="92" spans="1:9" x14ac:dyDescent="0.3">
      <c r="A92" s="24">
        <v>46142</v>
      </c>
      <c r="B92" s="9" t="s">
        <v>18</v>
      </c>
      <c r="C92" s="7" t="s">
        <v>15</v>
      </c>
      <c r="D92" s="7" t="s">
        <v>23</v>
      </c>
      <c r="E92" s="7">
        <v>1</v>
      </c>
      <c r="F92" s="10">
        <v>45000</v>
      </c>
      <c r="G92" s="10">
        <f t="shared" si="4"/>
        <v>45000</v>
      </c>
      <c r="H92" s="10">
        <f>IFERROR(E92*_xlfn.XLOOKUP(D92,Stok_Baju!B:B,Stok_Baju!D:D),0)</f>
        <v>19583.333333333332</v>
      </c>
      <c r="I92" s="10">
        <f t="shared" si="5"/>
        <v>25416.666666666668</v>
      </c>
    </row>
    <row r="93" spans="1:9" x14ac:dyDescent="0.3">
      <c r="A93" s="25">
        <v>46142</v>
      </c>
      <c r="B93" s="11" t="s">
        <v>18</v>
      </c>
      <c r="C93" s="8" t="s">
        <v>6</v>
      </c>
      <c r="D93" s="8" t="s">
        <v>7</v>
      </c>
      <c r="E93" s="8">
        <v>1</v>
      </c>
      <c r="F93" s="12">
        <v>45000</v>
      </c>
      <c r="G93" s="12">
        <f t="shared" si="4"/>
        <v>45000</v>
      </c>
      <c r="H93" s="12">
        <f>IFERROR(E93*_xlfn.XLOOKUP(D93,Stok_Baju!B:B,Stok_Baju!D:D),0)</f>
        <v>20833.333333333332</v>
      </c>
      <c r="I93" s="12">
        <f t="shared" si="5"/>
        <v>24166.666666666668</v>
      </c>
    </row>
    <row r="94" spans="1:9" x14ac:dyDescent="0.3">
      <c r="A94" s="24">
        <v>46142</v>
      </c>
      <c r="B94" s="9" t="s">
        <v>11</v>
      </c>
      <c r="C94" s="7" t="s">
        <v>12</v>
      </c>
      <c r="D94" s="7" t="s">
        <v>13</v>
      </c>
      <c r="E94" s="7">
        <v>2</v>
      </c>
      <c r="F94" s="10">
        <v>60000</v>
      </c>
      <c r="G94" s="10">
        <f t="shared" si="4"/>
        <v>120000</v>
      </c>
      <c r="H94" s="10">
        <f>IFERROR(E94*_xlfn.XLOOKUP(D94,Stok_Baju!B:B,Stok_Baju!D:D),0)</f>
        <v>62500</v>
      </c>
      <c r="I94" s="10">
        <f t="shared" si="5"/>
        <v>57500</v>
      </c>
    </row>
    <row r="95" spans="1:9" x14ac:dyDescent="0.3">
      <c r="A95" s="25">
        <v>46142</v>
      </c>
      <c r="B95" s="11" t="s">
        <v>11</v>
      </c>
      <c r="C95" s="8" t="s">
        <v>15</v>
      </c>
      <c r="D95" s="8" t="s">
        <v>25</v>
      </c>
      <c r="E95" s="8">
        <v>2</v>
      </c>
      <c r="F95" s="12">
        <v>60000</v>
      </c>
      <c r="G95" s="12">
        <f t="shared" si="4"/>
        <v>120000</v>
      </c>
      <c r="H95" s="12">
        <f>IFERROR(E95*_xlfn.XLOOKUP(D95,Stok_Baju!B:B,Stok_Baju!D:D),0)</f>
        <v>65833.333333333328</v>
      </c>
      <c r="I95" s="12">
        <f t="shared" si="5"/>
        <v>54166.666666666672</v>
      </c>
    </row>
    <row r="96" spans="1:9" x14ac:dyDescent="0.3">
      <c r="A96" s="24">
        <v>46142</v>
      </c>
      <c r="B96" s="9" t="s">
        <v>20</v>
      </c>
      <c r="C96" s="7"/>
      <c r="D96" s="7" t="s">
        <v>21</v>
      </c>
      <c r="E96" s="7">
        <v>1</v>
      </c>
      <c r="F96" s="10">
        <v>60000</v>
      </c>
      <c r="G96" s="10">
        <f t="shared" si="4"/>
        <v>60000</v>
      </c>
      <c r="H96" s="10">
        <f>IFERROR(E96*_xlfn.XLOOKUP(D96,Stok_Baju!B:B,Stok_Baju!D:D),0)</f>
        <v>35000</v>
      </c>
      <c r="I96" s="10">
        <f t="shared" si="5"/>
        <v>25000</v>
      </c>
    </row>
    <row r="97" spans="1:11" x14ac:dyDescent="0.3">
      <c r="A97" s="25">
        <v>46142</v>
      </c>
      <c r="B97" s="11" t="s">
        <v>33</v>
      </c>
      <c r="C97" s="8"/>
      <c r="D97" s="8" t="s">
        <v>35</v>
      </c>
      <c r="E97" s="8">
        <v>2</v>
      </c>
      <c r="F97" s="12">
        <v>45000</v>
      </c>
      <c r="G97" s="12">
        <f t="shared" si="4"/>
        <v>90000</v>
      </c>
      <c r="H97" s="12">
        <f>IFERROR(E97*_xlfn.XLOOKUP(D97,Stok_Baju!B:B,Stok_Baju!D:D),0)</f>
        <v>65000</v>
      </c>
      <c r="I97" s="12">
        <f t="shared" si="5"/>
        <v>25000</v>
      </c>
    </row>
    <row r="98" spans="1:11" x14ac:dyDescent="0.3">
      <c r="A98" s="13">
        <v>46147</v>
      </c>
      <c r="B98" t="s">
        <v>30</v>
      </c>
      <c r="C98" t="s">
        <v>9</v>
      </c>
      <c r="D98" t="s">
        <v>8</v>
      </c>
      <c r="E98">
        <v>2</v>
      </c>
      <c r="F98" s="1">
        <v>50000</v>
      </c>
      <c r="G98" s="1">
        <f t="shared" si="4"/>
        <v>100000</v>
      </c>
      <c r="H98" s="12">
        <f>IFERROR(E98*_xlfn.XLOOKUP(D98,Stok_Baju!B:B,Stok_Baju!D:D),0)</f>
        <v>43333.333333333336</v>
      </c>
      <c r="I98" s="1">
        <f t="shared" si="5"/>
        <v>56666.666666666664</v>
      </c>
    </row>
    <row r="99" spans="1:11" x14ac:dyDescent="0.3">
      <c r="A99" s="13">
        <v>46147</v>
      </c>
      <c r="B99" t="s">
        <v>30</v>
      </c>
      <c r="C99" t="s">
        <v>12</v>
      </c>
      <c r="D99" t="s">
        <v>10</v>
      </c>
      <c r="E99">
        <v>2</v>
      </c>
      <c r="F99" s="1">
        <v>50000</v>
      </c>
      <c r="G99" s="1">
        <f t="shared" si="4"/>
        <v>100000</v>
      </c>
      <c r="H99" s="12">
        <f>IFERROR(E99*_xlfn.XLOOKUP(D99,Stok_Baju!B:B,Stok_Baju!D:D),0)</f>
        <v>45833.333333333336</v>
      </c>
      <c r="I99" s="1">
        <f t="shared" si="5"/>
        <v>54166.666666666664</v>
      </c>
    </row>
    <row r="100" spans="1:11" x14ac:dyDescent="0.3">
      <c r="A100" s="13">
        <v>46147</v>
      </c>
      <c r="B100" t="s">
        <v>30</v>
      </c>
      <c r="C100" t="s">
        <v>6</v>
      </c>
      <c r="D100" s="5" t="s">
        <v>17</v>
      </c>
      <c r="E100">
        <v>3</v>
      </c>
      <c r="F100" s="1">
        <v>50000</v>
      </c>
      <c r="G100" s="1">
        <f t="shared" si="4"/>
        <v>150000</v>
      </c>
      <c r="H100" s="12">
        <f>IFERROR(E100*_xlfn.XLOOKUP(D100,Stok_Baju!B:B,Stok_Baju!D:D),0)</f>
        <v>76250</v>
      </c>
      <c r="I100" s="1">
        <f t="shared" si="5"/>
        <v>73750</v>
      </c>
    </row>
    <row r="101" spans="1:11" x14ac:dyDescent="0.3">
      <c r="A101" s="13">
        <v>46147</v>
      </c>
      <c r="B101" t="s">
        <v>18</v>
      </c>
      <c r="C101" t="s">
        <v>12</v>
      </c>
      <c r="D101" t="s">
        <v>22</v>
      </c>
      <c r="E101">
        <v>2</v>
      </c>
      <c r="F101" s="1">
        <v>45000</v>
      </c>
      <c r="G101" s="1">
        <f t="shared" si="4"/>
        <v>90000</v>
      </c>
      <c r="H101" s="12">
        <f>IFERROR(E101*_xlfn.XLOOKUP(D101,Stok_Baju!B:B,Stok_Baju!D:D),0)</f>
        <v>36666.666666666664</v>
      </c>
      <c r="I101" s="1">
        <f t="shared" si="5"/>
        <v>53333.333333333336</v>
      </c>
    </row>
    <row r="102" spans="1:11" x14ac:dyDescent="0.3">
      <c r="A102" s="13">
        <v>46147</v>
      </c>
      <c r="B102" t="s">
        <v>18</v>
      </c>
      <c r="C102" t="s">
        <v>31</v>
      </c>
      <c r="D102" t="s">
        <v>24</v>
      </c>
      <c r="E102">
        <v>2</v>
      </c>
      <c r="F102" s="1">
        <v>50000</v>
      </c>
      <c r="G102" s="1">
        <f t="shared" si="4"/>
        <v>100000</v>
      </c>
      <c r="H102" s="12">
        <f>IFERROR(E102*_xlfn.XLOOKUP(D102,Stok_Baju!B:B,Stok_Baju!D:D),0)</f>
        <v>48333.333333333336</v>
      </c>
      <c r="I102" s="1">
        <f t="shared" si="5"/>
        <v>51666.666666666664</v>
      </c>
    </row>
    <row r="103" spans="1:11" x14ac:dyDescent="0.3">
      <c r="A103" s="13">
        <v>46147</v>
      </c>
      <c r="B103" t="s">
        <v>11</v>
      </c>
      <c r="C103" t="s">
        <v>6</v>
      </c>
      <c r="D103" t="s">
        <v>16</v>
      </c>
      <c r="E103">
        <v>1</v>
      </c>
      <c r="F103" s="1">
        <v>60000</v>
      </c>
      <c r="G103" s="1">
        <f t="shared" si="4"/>
        <v>60000</v>
      </c>
      <c r="H103" s="12">
        <f>IFERROR(E103*_xlfn.XLOOKUP(D103,Stok_Baju!B:B,Stok_Baju!D:D),0)</f>
        <v>35416.666666666664</v>
      </c>
      <c r="I103" s="1">
        <f t="shared" si="5"/>
        <v>24583.333333333336</v>
      </c>
    </row>
    <row r="104" spans="1:11" x14ac:dyDescent="0.3">
      <c r="A104" s="13">
        <v>46148</v>
      </c>
      <c r="B104" t="s">
        <v>30</v>
      </c>
      <c r="C104" t="s">
        <v>9</v>
      </c>
      <c r="D104" t="s">
        <v>8</v>
      </c>
      <c r="E104">
        <v>2</v>
      </c>
      <c r="F104" s="1">
        <v>50000</v>
      </c>
      <c r="G104" s="1">
        <f t="shared" si="4"/>
        <v>100000</v>
      </c>
      <c r="H104" s="12">
        <f>IFERROR(E104*_xlfn.XLOOKUP(D104,Stok_Baju!B:B,Stok_Baju!D:D),0)</f>
        <v>43333.333333333336</v>
      </c>
      <c r="I104" s="1">
        <f t="shared" si="5"/>
        <v>56666.666666666664</v>
      </c>
    </row>
    <row r="105" spans="1:11" x14ac:dyDescent="0.3">
      <c r="A105" s="13">
        <v>46148</v>
      </c>
      <c r="B105" t="s">
        <v>30</v>
      </c>
      <c r="C105" t="s">
        <v>12</v>
      </c>
      <c r="D105" t="s">
        <v>10</v>
      </c>
      <c r="E105">
        <v>5</v>
      </c>
      <c r="F105" s="1">
        <v>50000</v>
      </c>
      <c r="G105" s="1">
        <f t="shared" si="4"/>
        <v>250000</v>
      </c>
      <c r="H105" s="12">
        <f>IFERROR(E105*_xlfn.XLOOKUP(D105,Stok_Baju!B:B,Stok_Baju!D:D),0)</f>
        <v>114583.33333333334</v>
      </c>
      <c r="I105" s="1">
        <f t="shared" si="5"/>
        <v>135416.66666666666</v>
      </c>
    </row>
    <row r="106" spans="1:11" x14ac:dyDescent="0.3">
      <c r="A106" s="13">
        <v>46149</v>
      </c>
      <c r="B106" t="s">
        <v>33</v>
      </c>
      <c r="D106" t="s">
        <v>35</v>
      </c>
      <c r="E106">
        <v>1</v>
      </c>
      <c r="F106" s="1">
        <v>45000</v>
      </c>
      <c r="G106" s="1">
        <f t="shared" si="4"/>
        <v>45000</v>
      </c>
      <c r="H106" s="12">
        <f>IFERROR(E106*_xlfn.XLOOKUP(D106,Stok_Baju!B:B,Stok_Baju!D:D),0)</f>
        <v>32500</v>
      </c>
      <c r="I106" s="1">
        <f t="shared" si="5"/>
        <v>12500</v>
      </c>
    </row>
    <row r="107" spans="1:11" x14ac:dyDescent="0.3">
      <c r="A107" s="13">
        <v>46149</v>
      </c>
      <c r="B107" t="s">
        <v>30</v>
      </c>
      <c r="C107" t="s">
        <v>6</v>
      </c>
      <c r="D107" t="s">
        <v>17</v>
      </c>
      <c r="E107">
        <v>1</v>
      </c>
      <c r="F107" s="1">
        <v>50000</v>
      </c>
      <c r="G107" s="1">
        <f t="shared" si="4"/>
        <v>50000</v>
      </c>
      <c r="H107" s="12">
        <f>IFERROR(E107*_xlfn.XLOOKUP(D107,Stok_Baju!B:B,Stok_Baju!D:D),0)</f>
        <v>25416.666666666668</v>
      </c>
      <c r="I107" s="1">
        <f t="shared" si="5"/>
        <v>24583.333333333332</v>
      </c>
    </row>
    <row r="108" spans="1:11" x14ac:dyDescent="0.3">
      <c r="A108" s="13">
        <v>46149</v>
      </c>
      <c r="B108" t="s">
        <v>30</v>
      </c>
      <c r="C108" t="s">
        <v>15</v>
      </c>
      <c r="D108" t="s">
        <v>14</v>
      </c>
      <c r="E108">
        <v>1</v>
      </c>
      <c r="F108" s="1">
        <v>50000</v>
      </c>
      <c r="G108" s="1">
        <f t="shared" si="4"/>
        <v>50000</v>
      </c>
      <c r="H108" s="12">
        <f>IFERROR(E108*_xlfn.XLOOKUP(D108,Stok_Baju!B:B,Stok_Baju!D:D),0)</f>
        <v>23750</v>
      </c>
      <c r="I108" s="1">
        <f t="shared" si="5"/>
        <v>26250</v>
      </c>
    </row>
    <row r="109" spans="1:11" x14ac:dyDescent="0.3">
      <c r="A109" s="13">
        <v>46149</v>
      </c>
      <c r="B109" t="s">
        <v>18</v>
      </c>
      <c r="C109" t="s">
        <v>9</v>
      </c>
      <c r="D109" t="s">
        <v>19</v>
      </c>
      <c r="E109">
        <v>1</v>
      </c>
      <c r="F109" s="1">
        <v>45000</v>
      </c>
      <c r="G109" s="1">
        <f t="shared" si="4"/>
        <v>45000</v>
      </c>
      <c r="H109" s="12">
        <f>IFERROR(E109*_xlfn.XLOOKUP(D109,Stok_Baju!B:B,Stok_Baju!D:D),0)</f>
        <v>17083.333333333332</v>
      </c>
      <c r="I109" s="1">
        <f t="shared" si="5"/>
        <v>27916.666666666668</v>
      </c>
    </row>
    <row r="110" spans="1:11" x14ac:dyDescent="0.3">
      <c r="A110" s="27">
        <v>46154</v>
      </c>
      <c r="B110" t="s">
        <v>30</v>
      </c>
      <c r="C110" t="s">
        <v>6</v>
      </c>
      <c r="D110" t="s">
        <v>17</v>
      </c>
      <c r="E110">
        <v>1</v>
      </c>
      <c r="F110" s="1">
        <v>50000</v>
      </c>
      <c r="G110" s="1">
        <f t="shared" si="4"/>
        <v>50000</v>
      </c>
      <c r="H110" s="12">
        <f>IFERROR(E110*_xlfn.XLOOKUP(D110,Stok_Baju!B:B,Stok_Baju!D:D),0)</f>
        <v>25416.666666666668</v>
      </c>
      <c r="I110" s="1">
        <f t="shared" ref="I110:I112" si="6">IF(G110="","",G110-H110)</f>
        <v>24583.333333333332</v>
      </c>
      <c r="K110" s="1"/>
    </row>
    <row r="111" spans="1:11" x14ac:dyDescent="0.3">
      <c r="A111" s="13">
        <v>46154</v>
      </c>
      <c r="B111" t="s">
        <v>18</v>
      </c>
      <c r="C111" t="s">
        <v>12</v>
      </c>
      <c r="D111" t="s">
        <v>22</v>
      </c>
      <c r="E111">
        <v>1</v>
      </c>
      <c r="F111" s="1">
        <v>45000</v>
      </c>
      <c r="G111" s="1">
        <f t="shared" si="4"/>
        <v>45000</v>
      </c>
      <c r="H111" s="12">
        <f>IFERROR(E111*_xlfn.XLOOKUP(D111,Stok_Baju!B:B,Stok_Baju!D:D),0)</f>
        <v>18333.333333333332</v>
      </c>
      <c r="I111" s="1">
        <f t="shared" si="6"/>
        <v>26666.666666666668</v>
      </c>
    </row>
    <row r="112" spans="1:11" x14ac:dyDescent="0.3">
      <c r="A112" s="13">
        <v>46154</v>
      </c>
      <c r="B112" t="s">
        <v>18</v>
      </c>
      <c r="C112" t="s">
        <v>6</v>
      </c>
      <c r="D112" t="s">
        <v>7</v>
      </c>
      <c r="E112">
        <v>1</v>
      </c>
      <c r="F112" s="1">
        <v>45000</v>
      </c>
      <c r="G112" s="1">
        <f t="shared" si="4"/>
        <v>45000</v>
      </c>
      <c r="H112" s="12">
        <f>IFERROR(E112*_xlfn.XLOOKUP(D112,Stok_Baju!B:B,Stok_Baju!D:D),0)</f>
        <v>20833.333333333332</v>
      </c>
      <c r="I112" s="1">
        <f t="shared" si="6"/>
        <v>24166.666666666668</v>
      </c>
    </row>
    <row r="113" spans="1:12" x14ac:dyDescent="0.3">
      <c r="A113" s="13">
        <v>46155</v>
      </c>
      <c r="B113" t="s">
        <v>30</v>
      </c>
      <c r="C113" t="s">
        <v>9</v>
      </c>
      <c r="D113" t="s">
        <v>8</v>
      </c>
      <c r="E113">
        <v>2</v>
      </c>
      <c r="F113" s="1">
        <v>50000</v>
      </c>
      <c r="G113" s="1">
        <f t="shared" ref="G113:G114" si="7">IF(OR(E113="",F113=""),"",E113*F113)</f>
        <v>100000</v>
      </c>
      <c r="H113" s="12">
        <f>IFERROR(E113*_xlfn.XLOOKUP(D113,Stok_Baju!B:B,Stok_Baju!D:D),0)</f>
        <v>43333.333333333336</v>
      </c>
      <c r="I113" s="1">
        <f t="shared" ref="I113:I114" si="8">IF(G113="","",G113-H113)</f>
        <v>56666.666666666664</v>
      </c>
      <c r="K113" s="1"/>
      <c r="L113" s="1"/>
    </row>
    <row r="114" spans="1:12" x14ac:dyDescent="0.3">
      <c r="A114" s="13">
        <v>46155</v>
      </c>
      <c r="B114" t="s">
        <v>30</v>
      </c>
      <c r="C114" t="s">
        <v>9</v>
      </c>
      <c r="D114" t="s">
        <v>10</v>
      </c>
      <c r="E114">
        <v>1</v>
      </c>
      <c r="F114" s="1">
        <v>50000</v>
      </c>
      <c r="G114" s="1">
        <f t="shared" si="7"/>
        <v>50000</v>
      </c>
      <c r="H114" s="12">
        <f>IFERROR(E114*_xlfn.XLOOKUP(D114,Stok_Baju!B:B,Stok_Baju!D:D),0)</f>
        <v>22916.666666666668</v>
      </c>
      <c r="I114" s="1">
        <f t="shared" si="8"/>
        <v>27083.333333333332</v>
      </c>
    </row>
    <row r="115" spans="1:12" x14ac:dyDescent="0.3">
      <c r="A115" s="13">
        <v>46155</v>
      </c>
      <c r="B115" t="s">
        <v>18</v>
      </c>
      <c r="C115" t="s">
        <v>6</v>
      </c>
      <c r="D115" t="s">
        <v>7</v>
      </c>
      <c r="E115">
        <v>1</v>
      </c>
      <c r="F115" s="1">
        <v>45000</v>
      </c>
      <c r="G115" s="1">
        <f t="shared" ref="G115:G178" si="9">IF(OR(E115="",F115=""),"",E115*F115)</f>
        <v>45000</v>
      </c>
      <c r="H115" s="12">
        <f>IFERROR(E115*_xlfn.XLOOKUP(D115,Stok_Baju!B:B,Stok_Baju!D:D),0)</f>
        <v>20833.333333333332</v>
      </c>
      <c r="I115" s="1">
        <f t="shared" ref="I115:I178" si="10">IF(G115="","",G115-H115)</f>
        <v>24166.666666666668</v>
      </c>
    </row>
    <row r="116" spans="1:12" x14ac:dyDescent="0.3">
      <c r="A116" s="13">
        <v>46155</v>
      </c>
      <c r="B116" t="s">
        <v>30</v>
      </c>
      <c r="C116" t="s">
        <v>9</v>
      </c>
      <c r="D116" t="s">
        <v>8</v>
      </c>
      <c r="E116">
        <v>1</v>
      </c>
      <c r="F116" s="1">
        <v>50000</v>
      </c>
      <c r="G116" s="1">
        <f t="shared" si="9"/>
        <v>50000</v>
      </c>
      <c r="H116" s="12">
        <f>IFERROR(E116*_xlfn.XLOOKUP(D116,Stok_Baju!B:B,Stok_Baju!D:D),0)</f>
        <v>21666.666666666668</v>
      </c>
      <c r="I116" s="1">
        <f t="shared" si="10"/>
        <v>28333.333333333332</v>
      </c>
    </row>
    <row r="117" spans="1:12" x14ac:dyDescent="0.3">
      <c r="A117" s="13">
        <v>46155</v>
      </c>
      <c r="B117" t="s">
        <v>18</v>
      </c>
      <c r="C117" t="s">
        <v>6</v>
      </c>
      <c r="D117" t="s">
        <v>17</v>
      </c>
      <c r="E117">
        <v>1</v>
      </c>
      <c r="F117" s="1">
        <v>45000</v>
      </c>
      <c r="G117" s="1">
        <f t="shared" si="9"/>
        <v>45000</v>
      </c>
      <c r="H117" s="12">
        <f>IFERROR(E117*_xlfn.XLOOKUP(D117,Stok_Baju!B:B,Stok_Baju!D:D),0)</f>
        <v>25416.666666666668</v>
      </c>
      <c r="I117" s="1">
        <f t="shared" si="10"/>
        <v>19583.333333333332</v>
      </c>
    </row>
    <row r="118" spans="1:12" x14ac:dyDescent="0.3">
      <c r="A118" s="13">
        <v>46155</v>
      </c>
      <c r="B118" t="s">
        <v>20</v>
      </c>
      <c r="D118" t="s">
        <v>21</v>
      </c>
      <c r="E118">
        <v>1</v>
      </c>
      <c r="F118" s="1">
        <v>60000</v>
      </c>
      <c r="G118" s="1">
        <f t="shared" si="9"/>
        <v>60000</v>
      </c>
      <c r="H118" s="12">
        <f>IFERROR(E118*_xlfn.XLOOKUP(D118,Stok_Baju!B:B,Stok_Baju!D:D),0)</f>
        <v>35000</v>
      </c>
      <c r="I118" s="1">
        <f t="shared" si="10"/>
        <v>25000</v>
      </c>
    </row>
    <row r="119" spans="1:12" x14ac:dyDescent="0.3">
      <c r="A119" s="13">
        <v>46155</v>
      </c>
      <c r="B119" t="s">
        <v>30</v>
      </c>
      <c r="C119" t="s">
        <v>9</v>
      </c>
      <c r="D119" t="s">
        <v>8</v>
      </c>
      <c r="E119">
        <v>1</v>
      </c>
      <c r="F119" s="1">
        <v>50000</v>
      </c>
      <c r="G119" s="1">
        <f t="shared" si="9"/>
        <v>50000</v>
      </c>
      <c r="H119" s="12">
        <f>IFERROR(E119*_xlfn.XLOOKUP(D119,Stok_Baju!B:B,Stok_Baju!D:D),0)</f>
        <v>21666.666666666668</v>
      </c>
      <c r="I119" s="1">
        <f t="shared" si="10"/>
        <v>28333.333333333332</v>
      </c>
    </row>
    <row r="120" spans="1:12" x14ac:dyDescent="0.3">
      <c r="A120" s="13">
        <v>46155</v>
      </c>
      <c r="B120" t="s">
        <v>30</v>
      </c>
      <c r="C120" t="s">
        <v>12</v>
      </c>
      <c r="D120" t="s">
        <v>10</v>
      </c>
      <c r="E120">
        <v>1</v>
      </c>
      <c r="F120" s="1">
        <v>50000</v>
      </c>
      <c r="G120" s="1">
        <f t="shared" si="9"/>
        <v>50000</v>
      </c>
      <c r="H120" s="12">
        <f>IFERROR(E120*_xlfn.XLOOKUP(D120,Stok_Baju!B:B,Stok_Baju!D:D),0)</f>
        <v>22916.666666666668</v>
      </c>
      <c r="I120" s="1">
        <f t="shared" si="10"/>
        <v>27083.333333333332</v>
      </c>
    </row>
    <row r="121" spans="1:12" x14ac:dyDescent="0.3">
      <c r="A121" s="13">
        <v>46155</v>
      </c>
      <c r="B121" t="s">
        <v>20</v>
      </c>
      <c r="D121" t="s">
        <v>21</v>
      </c>
      <c r="E121">
        <v>2</v>
      </c>
      <c r="F121" s="1">
        <v>60000</v>
      </c>
      <c r="G121" s="1">
        <f t="shared" si="9"/>
        <v>120000</v>
      </c>
      <c r="H121" s="12">
        <f>IFERROR(E121*_xlfn.XLOOKUP(D121,Stok_Baju!B:B,Stok_Baju!D:D),0)</f>
        <v>70000</v>
      </c>
      <c r="I121" s="1">
        <f t="shared" si="10"/>
        <v>50000</v>
      </c>
    </row>
    <row r="122" spans="1:12" x14ac:dyDescent="0.3">
      <c r="A122" s="13">
        <v>46155</v>
      </c>
      <c r="B122" t="s">
        <v>30</v>
      </c>
      <c r="C122" t="s">
        <v>6</v>
      </c>
      <c r="D122" t="s">
        <v>17</v>
      </c>
      <c r="E122">
        <v>1</v>
      </c>
      <c r="F122" s="1">
        <v>50000</v>
      </c>
      <c r="G122" s="1">
        <f t="shared" si="9"/>
        <v>50000</v>
      </c>
      <c r="H122" s="12">
        <f>IFERROR(E122*_xlfn.XLOOKUP(D122,Stok_Baju!B:B,Stok_Baju!D:D),0)</f>
        <v>25416.666666666668</v>
      </c>
      <c r="I122" s="1">
        <f t="shared" si="10"/>
        <v>24583.333333333332</v>
      </c>
    </row>
    <row r="123" spans="1:12" x14ac:dyDescent="0.3">
      <c r="A123" s="13">
        <v>46155</v>
      </c>
      <c r="B123" t="s">
        <v>30</v>
      </c>
      <c r="C123" t="s">
        <v>9</v>
      </c>
      <c r="D123" t="s">
        <v>8</v>
      </c>
      <c r="E123">
        <v>1</v>
      </c>
      <c r="F123" s="1">
        <v>50000</v>
      </c>
      <c r="G123" s="1">
        <f t="shared" si="9"/>
        <v>50000</v>
      </c>
      <c r="H123" s="12">
        <f>IFERROR(E123*_xlfn.XLOOKUP(D123,Stok_Baju!B:B,Stok_Baju!D:D),0)</f>
        <v>21666.666666666668</v>
      </c>
      <c r="I123" s="1">
        <f t="shared" si="10"/>
        <v>28333.333333333332</v>
      </c>
    </row>
    <row r="124" spans="1:12" x14ac:dyDescent="0.3">
      <c r="A124" s="13">
        <v>46155</v>
      </c>
      <c r="B124" t="s">
        <v>30</v>
      </c>
      <c r="C124" t="s">
        <v>15</v>
      </c>
      <c r="D124" t="s">
        <v>14</v>
      </c>
      <c r="E124">
        <v>2</v>
      </c>
      <c r="F124" s="1">
        <v>50000</v>
      </c>
      <c r="G124" s="1">
        <f t="shared" si="9"/>
        <v>100000</v>
      </c>
      <c r="H124" s="12">
        <f>IFERROR(E124*_xlfn.XLOOKUP(D124,Stok_Baju!B:B,Stok_Baju!D:D),0)</f>
        <v>47500</v>
      </c>
      <c r="I124" s="1">
        <f t="shared" si="10"/>
        <v>52500</v>
      </c>
    </row>
    <row r="125" spans="1:12" x14ac:dyDescent="0.3">
      <c r="A125" s="13">
        <v>46157</v>
      </c>
      <c r="B125" t="s">
        <v>30</v>
      </c>
      <c r="C125" t="s">
        <v>9</v>
      </c>
      <c r="D125" t="s">
        <v>8</v>
      </c>
      <c r="E125">
        <v>1</v>
      </c>
      <c r="F125" s="1">
        <v>50000</v>
      </c>
      <c r="G125" s="1">
        <f t="shared" si="9"/>
        <v>50000</v>
      </c>
      <c r="H125" s="12">
        <f>IFERROR(E125*_xlfn.XLOOKUP(D125,Stok_Baju!B:B,Stok_Baju!D:D),0)</f>
        <v>21666.666666666668</v>
      </c>
      <c r="I125" s="1">
        <f t="shared" si="10"/>
        <v>28333.333333333332</v>
      </c>
    </row>
    <row r="126" spans="1:12" x14ac:dyDescent="0.3">
      <c r="A126" s="13">
        <v>46157</v>
      </c>
      <c r="B126" t="s">
        <v>30</v>
      </c>
      <c r="C126" t="s">
        <v>6</v>
      </c>
      <c r="D126" t="s">
        <v>17</v>
      </c>
      <c r="E126">
        <v>1</v>
      </c>
      <c r="F126" s="1">
        <v>50000</v>
      </c>
      <c r="G126" s="1">
        <f t="shared" si="9"/>
        <v>50000</v>
      </c>
      <c r="H126" s="12">
        <f>IFERROR(E126*_xlfn.XLOOKUP(D126,Stok_Baju!B:B,Stok_Baju!D:D),0)</f>
        <v>25416.666666666668</v>
      </c>
      <c r="I126" s="1">
        <f t="shared" si="10"/>
        <v>24583.333333333332</v>
      </c>
    </row>
    <row r="127" spans="1:12" x14ac:dyDescent="0.3">
      <c r="A127" s="13">
        <v>46157</v>
      </c>
      <c r="B127" t="s">
        <v>30</v>
      </c>
      <c r="C127" t="s">
        <v>15</v>
      </c>
      <c r="D127" t="s">
        <v>14</v>
      </c>
      <c r="E127">
        <v>2</v>
      </c>
      <c r="F127" s="1">
        <v>50000</v>
      </c>
      <c r="G127" s="1">
        <f t="shared" si="9"/>
        <v>100000</v>
      </c>
      <c r="H127" s="12">
        <f>IFERROR(E127*_xlfn.XLOOKUP(D127,Stok_Baju!B:B,Stok_Baju!D:D),0)</f>
        <v>47500</v>
      </c>
      <c r="I127" s="1">
        <f t="shared" si="10"/>
        <v>52500</v>
      </c>
    </row>
    <row r="128" spans="1:12" x14ac:dyDescent="0.3">
      <c r="A128" s="13">
        <v>46157</v>
      </c>
      <c r="B128" t="s">
        <v>30</v>
      </c>
      <c r="C128" t="s">
        <v>6</v>
      </c>
      <c r="D128" t="s">
        <v>17</v>
      </c>
      <c r="E128">
        <v>1</v>
      </c>
      <c r="F128" s="1">
        <v>50000</v>
      </c>
      <c r="G128" s="1">
        <f t="shared" si="9"/>
        <v>50000</v>
      </c>
      <c r="H128" s="12">
        <f>IFERROR(E128*_xlfn.XLOOKUP(D128,Stok_Baju!B:B,Stok_Baju!D:D),0)</f>
        <v>25416.666666666668</v>
      </c>
      <c r="I128" s="1">
        <f t="shared" si="10"/>
        <v>24583.333333333332</v>
      </c>
    </row>
    <row r="129" spans="1:9" x14ac:dyDescent="0.3">
      <c r="A129" s="13">
        <v>46157</v>
      </c>
      <c r="B129" t="s">
        <v>18</v>
      </c>
      <c r="C129" t="s">
        <v>12</v>
      </c>
      <c r="D129" t="s">
        <v>22</v>
      </c>
      <c r="E129">
        <v>1</v>
      </c>
      <c r="F129" s="1">
        <v>45000</v>
      </c>
      <c r="G129" s="1">
        <f t="shared" si="9"/>
        <v>45000</v>
      </c>
      <c r="H129" s="12">
        <f>IFERROR(E129*_xlfn.XLOOKUP(D129,Stok_Baju!B:B,Stok_Baju!D:D),0)</f>
        <v>18333.333333333332</v>
      </c>
      <c r="I129" s="1">
        <f t="shared" si="10"/>
        <v>26666.666666666668</v>
      </c>
    </row>
    <row r="130" spans="1:9" x14ac:dyDescent="0.3">
      <c r="A130" s="13">
        <v>46157</v>
      </c>
      <c r="B130" t="s">
        <v>30</v>
      </c>
      <c r="C130" t="s">
        <v>9</v>
      </c>
      <c r="D130" t="s">
        <v>8</v>
      </c>
      <c r="E130">
        <v>1</v>
      </c>
      <c r="F130" s="1">
        <v>50000</v>
      </c>
      <c r="G130" s="1">
        <f t="shared" si="9"/>
        <v>50000</v>
      </c>
      <c r="H130" s="12">
        <f>IFERROR(E130*_xlfn.XLOOKUP(D130,Stok_Baju!B:B,Stok_Baju!D:D),0)</f>
        <v>21666.666666666668</v>
      </c>
      <c r="I130" s="1">
        <f t="shared" si="10"/>
        <v>28333.333333333332</v>
      </c>
    </row>
    <row r="131" spans="1:9" x14ac:dyDescent="0.3">
      <c r="A131" s="13">
        <v>46157</v>
      </c>
      <c r="B131" t="s">
        <v>30</v>
      </c>
      <c r="C131" t="s">
        <v>12</v>
      </c>
      <c r="D131" t="s">
        <v>10</v>
      </c>
      <c r="E131">
        <v>1</v>
      </c>
      <c r="F131" s="1">
        <v>50000</v>
      </c>
      <c r="G131" s="1">
        <f t="shared" si="9"/>
        <v>50000</v>
      </c>
      <c r="H131" s="12">
        <f>IFERROR(E131*_xlfn.XLOOKUP(D131,Stok_Baju!B:B,Stok_Baju!D:D),0)</f>
        <v>22916.666666666668</v>
      </c>
      <c r="I131" s="1">
        <f t="shared" si="10"/>
        <v>27083.333333333332</v>
      </c>
    </row>
    <row r="132" spans="1:9" x14ac:dyDescent="0.3">
      <c r="A132" s="13">
        <v>46157</v>
      </c>
      <c r="B132" t="s">
        <v>30</v>
      </c>
      <c r="C132" t="s">
        <v>6</v>
      </c>
      <c r="D132" t="s">
        <v>17</v>
      </c>
      <c r="E132">
        <v>1</v>
      </c>
      <c r="F132" s="1">
        <v>50000</v>
      </c>
      <c r="G132" s="1">
        <f t="shared" si="9"/>
        <v>50000</v>
      </c>
      <c r="H132" s="12">
        <f>IFERROR(E132*_xlfn.XLOOKUP(D132,Stok_Baju!B:B,Stok_Baju!D:D),0)</f>
        <v>25416.666666666668</v>
      </c>
      <c r="I132" s="1">
        <f t="shared" si="10"/>
        <v>24583.333333333332</v>
      </c>
    </row>
    <row r="133" spans="1:9" x14ac:dyDescent="0.3">
      <c r="A133" s="13">
        <v>46158</v>
      </c>
      <c r="B133" t="s">
        <v>11</v>
      </c>
      <c r="C133" t="s">
        <v>6</v>
      </c>
      <c r="D133" t="s">
        <v>16</v>
      </c>
      <c r="E133">
        <v>2</v>
      </c>
      <c r="F133" s="1">
        <v>50000</v>
      </c>
      <c r="G133" s="1">
        <f t="shared" si="9"/>
        <v>100000</v>
      </c>
      <c r="H133" s="12">
        <f>IFERROR(E133*_xlfn.XLOOKUP(D133,Stok_Baju!B:B,Stok_Baju!D:D),0)</f>
        <v>70833.333333333328</v>
      </c>
      <c r="I133" s="1">
        <f t="shared" si="10"/>
        <v>29166.666666666672</v>
      </c>
    </row>
    <row r="134" spans="1:9" x14ac:dyDescent="0.3">
      <c r="A134" s="13">
        <v>46159</v>
      </c>
      <c r="B134" t="s">
        <v>30</v>
      </c>
      <c r="C134" t="s">
        <v>12</v>
      </c>
      <c r="D134" t="s">
        <v>10</v>
      </c>
      <c r="E134">
        <v>1</v>
      </c>
      <c r="F134" s="1">
        <v>50000</v>
      </c>
      <c r="G134" s="1">
        <f t="shared" si="9"/>
        <v>50000</v>
      </c>
      <c r="H134" s="12">
        <f>IFERROR(E134*_xlfn.XLOOKUP(D134,Stok_Baju!B:B,Stok_Baju!D:D),0)</f>
        <v>22916.666666666668</v>
      </c>
      <c r="I134" s="1">
        <f t="shared" si="10"/>
        <v>27083.333333333332</v>
      </c>
    </row>
    <row r="135" spans="1:9" x14ac:dyDescent="0.3">
      <c r="A135" s="13">
        <v>46159</v>
      </c>
      <c r="B135" t="s">
        <v>30</v>
      </c>
      <c r="C135" t="s">
        <v>15</v>
      </c>
      <c r="D135" t="s">
        <v>14</v>
      </c>
      <c r="E135">
        <v>1</v>
      </c>
      <c r="F135" s="1">
        <v>50000</v>
      </c>
      <c r="G135" s="1">
        <f t="shared" si="9"/>
        <v>50000</v>
      </c>
      <c r="H135" s="12">
        <f>IFERROR(E135*_xlfn.XLOOKUP(D135,Stok_Baju!B:B,Stok_Baju!D:D),0)</f>
        <v>23750</v>
      </c>
      <c r="I135" s="1">
        <f t="shared" si="10"/>
        <v>26250</v>
      </c>
    </row>
    <row r="136" spans="1:9" x14ac:dyDescent="0.3">
      <c r="A136" s="13">
        <v>46159</v>
      </c>
      <c r="B136" t="s">
        <v>20</v>
      </c>
      <c r="D136" t="s">
        <v>21</v>
      </c>
      <c r="E136">
        <v>1</v>
      </c>
      <c r="F136" s="1">
        <v>60000</v>
      </c>
      <c r="G136" s="1">
        <f t="shared" si="9"/>
        <v>60000</v>
      </c>
      <c r="H136" s="12">
        <f>IFERROR(E136*_xlfn.XLOOKUP(D136,Stok_Baju!B:B,Stok_Baju!D:D),0)</f>
        <v>35000</v>
      </c>
      <c r="I136" s="1">
        <f t="shared" si="10"/>
        <v>25000</v>
      </c>
    </row>
    <row r="137" spans="1:9" x14ac:dyDescent="0.3">
      <c r="A137" s="13">
        <v>46159</v>
      </c>
      <c r="B137" t="s">
        <v>30</v>
      </c>
      <c r="C137" t="s">
        <v>15</v>
      </c>
      <c r="D137" t="s">
        <v>14</v>
      </c>
      <c r="E137">
        <v>1</v>
      </c>
      <c r="F137" s="1">
        <v>50000</v>
      </c>
      <c r="G137" s="1">
        <f t="shared" si="9"/>
        <v>50000</v>
      </c>
      <c r="H137" s="12">
        <f>IFERROR(E137*_xlfn.XLOOKUP(D137,Stok_Baju!B:B,Stok_Baju!D:D),0)</f>
        <v>23750</v>
      </c>
      <c r="I137" s="1">
        <f t="shared" si="10"/>
        <v>26250</v>
      </c>
    </row>
    <row r="138" spans="1:9" x14ac:dyDescent="0.3">
      <c r="A138" s="13">
        <v>46161</v>
      </c>
      <c r="B138" t="s">
        <v>11</v>
      </c>
      <c r="C138" s="5" t="s">
        <v>6</v>
      </c>
      <c r="D138" s="5" t="s">
        <v>16</v>
      </c>
      <c r="E138">
        <v>1</v>
      </c>
      <c r="F138" s="1">
        <v>60000</v>
      </c>
      <c r="G138" s="1">
        <f t="shared" si="9"/>
        <v>60000</v>
      </c>
      <c r="H138" s="12">
        <f>IFERROR(E138*_xlfn.XLOOKUP(D138,Stok_Baju!B:B,Stok_Baju!D:D),0)</f>
        <v>35416.666666666664</v>
      </c>
      <c r="I138" s="1">
        <f t="shared" si="10"/>
        <v>24583.333333333336</v>
      </c>
    </row>
    <row r="139" spans="1:9" x14ac:dyDescent="0.3">
      <c r="A139" s="13">
        <v>46161</v>
      </c>
      <c r="B139" s="5" t="s">
        <v>30</v>
      </c>
      <c r="C139" s="5" t="s">
        <v>15</v>
      </c>
      <c r="D139" s="5" t="s">
        <v>14</v>
      </c>
      <c r="E139">
        <v>1</v>
      </c>
      <c r="F139" s="1">
        <v>50000</v>
      </c>
      <c r="G139" s="1">
        <f t="shared" si="9"/>
        <v>50000</v>
      </c>
      <c r="H139" s="12">
        <f>IFERROR(E139*_xlfn.XLOOKUP(D139,Stok_Baju!B:B,Stok_Baju!D:D),0)</f>
        <v>23750</v>
      </c>
      <c r="I139" s="1">
        <f t="shared" si="10"/>
        <v>26250</v>
      </c>
    </row>
    <row r="140" spans="1:9" x14ac:dyDescent="0.3">
      <c r="A140" s="13">
        <v>46161</v>
      </c>
      <c r="B140" s="5" t="s">
        <v>30</v>
      </c>
      <c r="C140" s="5" t="s">
        <v>15</v>
      </c>
      <c r="D140" s="5" t="s">
        <v>14</v>
      </c>
      <c r="E140">
        <v>2</v>
      </c>
      <c r="F140" s="1">
        <v>50000</v>
      </c>
      <c r="G140" s="1">
        <f t="shared" si="9"/>
        <v>100000</v>
      </c>
      <c r="H140" s="12">
        <f>IFERROR(E140*_xlfn.XLOOKUP(D140,Stok_Baju!B:B,Stok_Baju!D:D),0)</f>
        <v>47500</v>
      </c>
      <c r="I140" s="1">
        <f t="shared" si="10"/>
        <v>52500</v>
      </c>
    </row>
    <row r="141" spans="1:9" x14ac:dyDescent="0.3">
      <c r="A141" s="13">
        <v>46163</v>
      </c>
      <c r="B141" s="5" t="s">
        <v>30</v>
      </c>
      <c r="C141" s="5" t="s">
        <v>9</v>
      </c>
      <c r="D141" s="5" t="s">
        <v>8</v>
      </c>
      <c r="E141">
        <v>1</v>
      </c>
      <c r="F141" s="1">
        <v>50000</v>
      </c>
      <c r="G141" s="1">
        <f t="shared" si="9"/>
        <v>50000</v>
      </c>
      <c r="H141" s="12">
        <f>IFERROR(E141*_xlfn.XLOOKUP(D141,Stok_Baju!B:B,Stok_Baju!D:D),0)</f>
        <v>21666.666666666668</v>
      </c>
      <c r="I141" s="1">
        <f t="shared" si="10"/>
        <v>28333.333333333332</v>
      </c>
    </row>
    <row r="142" spans="1:9" x14ac:dyDescent="0.3">
      <c r="A142" s="13">
        <v>46163</v>
      </c>
      <c r="B142" s="5" t="s">
        <v>30</v>
      </c>
      <c r="C142" s="5" t="s">
        <v>12</v>
      </c>
      <c r="D142" s="5" t="s">
        <v>10</v>
      </c>
      <c r="E142">
        <v>1</v>
      </c>
      <c r="F142" s="1">
        <v>50000</v>
      </c>
      <c r="G142" s="1">
        <f t="shared" si="9"/>
        <v>50000</v>
      </c>
      <c r="H142" s="12">
        <f>IFERROR(E142*_xlfn.XLOOKUP(D142,Stok_Baju!B:B,Stok_Baju!D:D),0)</f>
        <v>22916.666666666668</v>
      </c>
      <c r="I142" s="1">
        <f t="shared" si="10"/>
        <v>27083.333333333332</v>
      </c>
    </row>
    <row r="143" spans="1:9" x14ac:dyDescent="0.3">
      <c r="A143" s="13">
        <v>46163</v>
      </c>
      <c r="B143" s="5" t="s">
        <v>30</v>
      </c>
      <c r="C143" s="5" t="s">
        <v>15</v>
      </c>
      <c r="D143" s="5" t="s">
        <v>14</v>
      </c>
      <c r="E143">
        <v>1</v>
      </c>
      <c r="F143" s="1">
        <v>50000</v>
      </c>
      <c r="G143" s="1">
        <f t="shared" si="9"/>
        <v>50000</v>
      </c>
      <c r="H143" s="12">
        <f>IFERROR(E143*_xlfn.XLOOKUP(D143,Stok_Baju!B:B,Stok_Baju!D:D),0)</f>
        <v>23750</v>
      </c>
      <c r="I143" s="1">
        <f t="shared" si="10"/>
        <v>26250</v>
      </c>
    </row>
    <row r="144" spans="1:9" x14ac:dyDescent="0.3">
      <c r="A144" s="13">
        <v>46163</v>
      </c>
      <c r="B144" s="5" t="s">
        <v>30</v>
      </c>
      <c r="C144" s="5" t="s">
        <v>12</v>
      </c>
      <c r="D144" s="5" t="s">
        <v>10</v>
      </c>
      <c r="E144">
        <v>1</v>
      </c>
      <c r="F144" s="1">
        <v>50000</v>
      </c>
      <c r="G144" s="1">
        <f t="shared" si="9"/>
        <v>50000</v>
      </c>
      <c r="H144" s="12">
        <f>IFERROR(E144*_xlfn.XLOOKUP(D144,Stok_Baju!B:B,Stok_Baju!D:D),0)</f>
        <v>22916.666666666668</v>
      </c>
      <c r="I144" s="1">
        <f t="shared" si="10"/>
        <v>27083.333333333332</v>
      </c>
    </row>
    <row r="145" spans="6:9" x14ac:dyDescent="0.3">
      <c r="F145" s="1"/>
      <c r="G145" s="1" t="str">
        <f t="shared" si="9"/>
        <v/>
      </c>
      <c r="H145" s="12">
        <f>IFERROR(E145*_xlfn.XLOOKUP(D145,Stok_Baju!B:B,Stok_Baju!D:D),0)</f>
        <v>0</v>
      </c>
      <c r="I145" s="1" t="str">
        <f t="shared" si="10"/>
        <v/>
      </c>
    </row>
    <row r="146" spans="6:9" x14ac:dyDescent="0.3">
      <c r="F146" s="1"/>
      <c r="G146" s="1" t="str">
        <f t="shared" si="9"/>
        <v/>
      </c>
      <c r="H146" s="12">
        <f>IFERROR(E146*_xlfn.XLOOKUP(D146,Stok_Baju!B:B,Stok_Baju!D:D),0)</f>
        <v>0</v>
      </c>
      <c r="I146" s="1" t="str">
        <f t="shared" si="10"/>
        <v/>
      </c>
    </row>
    <row r="147" spans="6:9" x14ac:dyDescent="0.3">
      <c r="F147" s="1"/>
      <c r="G147" s="1" t="str">
        <f t="shared" si="9"/>
        <v/>
      </c>
      <c r="H147" s="12">
        <f>IFERROR(E147*_xlfn.XLOOKUP(D147,Stok_Baju!B:B,Stok_Baju!D:D),0)</f>
        <v>0</v>
      </c>
      <c r="I147" s="1" t="str">
        <f t="shared" si="10"/>
        <v/>
      </c>
    </row>
    <row r="148" spans="6:9" x14ac:dyDescent="0.3">
      <c r="F148" s="1"/>
      <c r="G148" s="1" t="str">
        <f t="shared" si="9"/>
        <v/>
      </c>
      <c r="H148" s="12">
        <f>IFERROR(E148*_xlfn.XLOOKUP(D148,Stok_Baju!B:B,Stok_Baju!D:D),0)</f>
        <v>0</v>
      </c>
      <c r="I148" s="1" t="str">
        <f t="shared" si="10"/>
        <v/>
      </c>
    </row>
    <row r="149" spans="6:9" x14ac:dyDescent="0.3">
      <c r="F149" s="1"/>
      <c r="G149" s="1" t="str">
        <f t="shared" si="9"/>
        <v/>
      </c>
      <c r="H149" s="12">
        <f>IFERROR(E149*_xlfn.XLOOKUP(D149,Stok_Baju!B:B,Stok_Baju!D:D),0)</f>
        <v>0</v>
      </c>
      <c r="I149" s="1" t="str">
        <f t="shared" si="10"/>
        <v/>
      </c>
    </row>
    <row r="150" spans="6:9" x14ac:dyDescent="0.3">
      <c r="F150" s="1"/>
      <c r="G150" s="1" t="str">
        <f t="shared" si="9"/>
        <v/>
      </c>
      <c r="H150" s="12">
        <f>IFERROR(E150*_xlfn.XLOOKUP(D150,Stok_Baju!B:B,Stok_Baju!D:D),0)</f>
        <v>0</v>
      </c>
      <c r="I150" s="1" t="str">
        <f t="shared" si="10"/>
        <v/>
      </c>
    </row>
    <row r="151" spans="6:9" x14ac:dyDescent="0.3">
      <c r="F151" s="1"/>
      <c r="G151" s="1" t="str">
        <f t="shared" si="9"/>
        <v/>
      </c>
      <c r="H151" s="12">
        <f>IFERROR(E151*_xlfn.XLOOKUP(D151,Stok_Baju!B:B,Stok_Baju!D:D),0)</f>
        <v>0</v>
      </c>
      <c r="I151" s="1" t="str">
        <f t="shared" si="10"/>
        <v/>
      </c>
    </row>
    <row r="152" spans="6:9" x14ac:dyDescent="0.3">
      <c r="F152" s="1"/>
      <c r="G152" s="1" t="str">
        <f t="shared" si="9"/>
        <v/>
      </c>
      <c r="H152" s="12">
        <f>IFERROR(E152*_xlfn.XLOOKUP(D152,Stok_Baju!B:B,Stok_Baju!D:D),0)</f>
        <v>0</v>
      </c>
      <c r="I152" s="1" t="str">
        <f t="shared" si="10"/>
        <v/>
      </c>
    </row>
    <row r="153" spans="6:9" x14ac:dyDescent="0.3">
      <c r="F153" s="1"/>
      <c r="G153" s="1" t="str">
        <f t="shared" si="9"/>
        <v/>
      </c>
      <c r="H153" s="12">
        <f>IFERROR(E153*_xlfn.XLOOKUP(D153,Stok_Baju!B:B,Stok_Baju!D:D),0)</f>
        <v>0</v>
      </c>
      <c r="I153" s="1" t="str">
        <f t="shared" si="10"/>
        <v/>
      </c>
    </row>
    <row r="154" spans="6:9" x14ac:dyDescent="0.3">
      <c r="F154" s="1"/>
      <c r="G154" s="1" t="str">
        <f t="shared" si="9"/>
        <v/>
      </c>
      <c r="H154" s="12">
        <f>IFERROR(E154*_xlfn.XLOOKUP(D154,Stok_Baju!B:B,Stok_Baju!D:D),0)</f>
        <v>0</v>
      </c>
      <c r="I154" s="1" t="str">
        <f t="shared" si="10"/>
        <v/>
      </c>
    </row>
    <row r="155" spans="6:9" x14ac:dyDescent="0.3">
      <c r="F155" s="1"/>
      <c r="G155" s="1" t="str">
        <f t="shared" si="9"/>
        <v/>
      </c>
      <c r="H155" s="12">
        <f>IFERROR(E155*_xlfn.XLOOKUP(D155,Stok_Baju!B:B,Stok_Baju!D:D),0)</f>
        <v>0</v>
      </c>
      <c r="I155" s="1" t="str">
        <f t="shared" si="10"/>
        <v/>
      </c>
    </row>
    <row r="156" spans="6:9" x14ac:dyDescent="0.3">
      <c r="F156" s="1"/>
      <c r="G156" s="1" t="str">
        <f t="shared" si="9"/>
        <v/>
      </c>
      <c r="H156" s="12">
        <f>IFERROR(E156*_xlfn.XLOOKUP(D156,Stok_Baju!B:B,Stok_Baju!D:D),0)</f>
        <v>0</v>
      </c>
      <c r="I156" s="1" t="str">
        <f t="shared" si="10"/>
        <v/>
      </c>
    </row>
    <row r="157" spans="6:9" x14ac:dyDescent="0.3">
      <c r="F157" s="1"/>
      <c r="G157" s="1" t="str">
        <f t="shared" si="9"/>
        <v/>
      </c>
      <c r="H157" s="12">
        <f>IFERROR(E157*_xlfn.XLOOKUP(D157,Stok_Baju!B:B,Stok_Baju!D:D),0)</f>
        <v>0</v>
      </c>
      <c r="I157" s="1" t="str">
        <f t="shared" si="10"/>
        <v/>
      </c>
    </row>
    <row r="158" spans="6:9" x14ac:dyDescent="0.3">
      <c r="F158" s="1"/>
      <c r="G158" s="1" t="str">
        <f t="shared" si="9"/>
        <v/>
      </c>
      <c r="H158" s="12">
        <f>IFERROR(E158*_xlfn.XLOOKUP(D158,Stok_Baju!B:B,Stok_Baju!D:D),0)</f>
        <v>0</v>
      </c>
      <c r="I158" s="1" t="str">
        <f t="shared" si="10"/>
        <v/>
      </c>
    </row>
    <row r="159" spans="6:9" x14ac:dyDescent="0.3">
      <c r="F159" s="1"/>
      <c r="G159" s="1" t="str">
        <f t="shared" si="9"/>
        <v/>
      </c>
      <c r="H159" s="12">
        <f>IFERROR(E159*_xlfn.XLOOKUP(D159,Stok_Baju!B:B,Stok_Baju!D:D),0)</f>
        <v>0</v>
      </c>
      <c r="I159" s="1" t="str">
        <f t="shared" si="10"/>
        <v/>
      </c>
    </row>
    <row r="160" spans="6:9" x14ac:dyDescent="0.3">
      <c r="F160" s="1"/>
      <c r="G160" s="1" t="str">
        <f t="shared" si="9"/>
        <v/>
      </c>
      <c r="H160" s="12">
        <f>IFERROR(E160*_xlfn.XLOOKUP(D160,Stok_Baju!B:B,Stok_Baju!D:D),0)</f>
        <v>0</v>
      </c>
      <c r="I160" s="1" t="str">
        <f t="shared" si="10"/>
        <v/>
      </c>
    </row>
    <row r="161" spans="6:9" x14ac:dyDescent="0.3">
      <c r="F161" s="1"/>
      <c r="G161" s="1" t="str">
        <f t="shared" si="9"/>
        <v/>
      </c>
      <c r="H161" s="12">
        <f>IFERROR(E161*_xlfn.XLOOKUP(D161,Stok_Baju!B:B,Stok_Baju!D:D),0)</f>
        <v>0</v>
      </c>
      <c r="I161" s="1" t="str">
        <f t="shared" si="10"/>
        <v/>
      </c>
    </row>
    <row r="162" spans="6:9" x14ac:dyDescent="0.3">
      <c r="F162" s="1"/>
      <c r="G162" s="1" t="str">
        <f t="shared" si="9"/>
        <v/>
      </c>
      <c r="H162" s="12">
        <f>IFERROR(E162*_xlfn.XLOOKUP(D162,Stok_Baju!B:B,Stok_Baju!D:D),0)</f>
        <v>0</v>
      </c>
      <c r="I162" s="1" t="str">
        <f t="shared" si="10"/>
        <v/>
      </c>
    </row>
    <row r="163" spans="6:9" x14ac:dyDescent="0.3">
      <c r="F163" s="1"/>
      <c r="G163" s="1" t="str">
        <f t="shared" si="9"/>
        <v/>
      </c>
      <c r="H163" s="12">
        <f>IFERROR(E163*_xlfn.XLOOKUP(D163,Stok_Baju!B:B,Stok_Baju!D:D),0)</f>
        <v>0</v>
      </c>
      <c r="I163" s="1" t="str">
        <f t="shared" si="10"/>
        <v/>
      </c>
    </row>
    <row r="164" spans="6:9" x14ac:dyDescent="0.3">
      <c r="F164" s="1"/>
      <c r="G164" s="1" t="str">
        <f t="shared" si="9"/>
        <v/>
      </c>
      <c r="H164" s="12">
        <f>IFERROR(E164*_xlfn.XLOOKUP(D164,Stok_Baju!B:B,Stok_Baju!D:D),0)</f>
        <v>0</v>
      </c>
      <c r="I164" s="1" t="str">
        <f t="shared" si="10"/>
        <v/>
      </c>
    </row>
    <row r="165" spans="6:9" x14ac:dyDescent="0.3">
      <c r="F165" s="1"/>
      <c r="G165" s="1" t="str">
        <f t="shared" si="9"/>
        <v/>
      </c>
      <c r="H165" s="12">
        <f>IFERROR(E165*_xlfn.XLOOKUP(D165,Stok_Baju!B:B,Stok_Baju!D:D),0)</f>
        <v>0</v>
      </c>
      <c r="I165" s="1" t="str">
        <f t="shared" si="10"/>
        <v/>
      </c>
    </row>
    <row r="166" spans="6:9" x14ac:dyDescent="0.3">
      <c r="F166" s="1"/>
      <c r="G166" s="1" t="str">
        <f t="shared" si="9"/>
        <v/>
      </c>
      <c r="H166" s="12">
        <f>IFERROR(E166*_xlfn.XLOOKUP(D166,Stok_Baju!B:B,Stok_Baju!D:D),0)</f>
        <v>0</v>
      </c>
      <c r="I166" s="1" t="str">
        <f t="shared" si="10"/>
        <v/>
      </c>
    </row>
    <row r="167" spans="6:9" x14ac:dyDescent="0.3">
      <c r="F167" s="1"/>
      <c r="G167" s="1" t="str">
        <f t="shared" si="9"/>
        <v/>
      </c>
      <c r="H167" s="12">
        <f>IFERROR(E167*_xlfn.XLOOKUP(D167,Stok_Baju!B:B,Stok_Baju!D:D),0)</f>
        <v>0</v>
      </c>
      <c r="I167" s="1" t="str">
        <f t="shared" si="10"/>
        <v/>
      </c>
    </row>
    <row r="168" spans="6:9" x14ac:dyDescent="0.3">
      <c r="F168" s="1"/>
      <c r="G168" s="1" t="str">
        <f t="shared" si="9"/>
        <v/>
      </c>
      <c r="H168" s="12">
        <f>IFERROR(E168*_xlfn.XLOOKUP(D168,Stok_Baju!B:B,Stok_Baju!D:D),0)</f>
        <v>0</v>
      </c>
      <c r="I168" s="1" t="str">
        <f t="shared" si="10"/>
        <v/>
      </c>
    </row>
    <row r="169" spans="6:9" x14ac:dyDescent="0.3">
      <c r="F169" s="1"/>
      <c r="G169" s="1" t="str">
        <f t="shared" si="9"/>
        <v/>
      </c>
      <c r="H169" s="12">
        <f>IFERROR(E169*_xlfn.XLOOKUP(D169,Stok_Baju!B:B,Stok_Baju!D:D),0)</f>
        <v>0</v>
      </c>
      <c r="I169" s="1" t="str">
        <f t="shared" si="10"/>
        <v/>
      </c>
    </row>
    <row r="170" spans="6:9" x14ac:dyDescent="0.3">
      <c r="F170" s="1"/>
      <c r="G170" s="1" t="str">
        <f t="shared" si="9"/>
        <v/>
      </c>
      <c r="H170" s="12">
        <f>IFERROR(E170*_xlfn.XLOOKUP(D170,Stok_Baju!B:B,Stok_Baju!D:D),0)</f>
        <v>0</v>
      </c>
      <c r="I170" s="1" t="str">
        <f t="shared" si="10"/>
        <v/>
      </c>
    </row>
    <row r="171" spans="6:9" x14ac:dyDescent="0.3">
      <c r="F171" s="1"/>
      <c r="G171" s="1" t="str">
        <f t="shared" si="9"/>
        <v/>
      </c>
      <c r="H171" s="12">
        <f>IFERROR(E171*_xlfn.XLOOKUP(D171,Stok_Baju!B:B,Stok_Baju!D:D),0)</f>
        <v>0</v>
      </c>
      <c r="I171" s="1" t="str">
        <f t="shared" si="10"/>
        <v/>
      </c>
    </row>
    <row r="172" spans="6:9" x14ac:dyDescent="0.3">
      <c r="F172" s="1"/>
      <c r="G172" s="1" t="str">
        <f t="shared" si="9"/>
        <v/>
      </c>
      <c r="H172" s="12">
        <f>IFERROR(E172*_xlfn.XLOOKUP(D172,Stok_Baju!B:B,Stok_Baju!D:D),0)</f>
        <v>0</v>
      </c>
      <c r="I172" s="1" t="str">
        <f t="shared" si="10"/>
        <v/>
      </c>
    </row>
    <row r="173" spans="6:9" x14ac:dyDescent="0.3">
      <c r="F173" s="1"/>
      <c r="G173" s="1" t="str">
        <f t="shared" si="9"/>
        <v/>
      </c>
      <c r="H173" s="12">
        <f>IFERROR(E173*_xlfn.XLOOKUP(D173,Stok_Baju!B:B,Stok_Baju!D:D),0)</f>
        <v>0</v>
      </c>
      <c r="I173" s="1" t="str">
        <f t="shared" si="10"/>
        <v/>
      </c>
    </row>
    <row r="174" spans="6:9" x14ac:dyDescent="0.3">
      <c r="F174" s="1"/>
      <c r="G174" s="1" t="str">
        <f t="shared" si="9"/>
        <v/>
      </c>
      <c r="H174" s="12">
        <f>IFERROR(E174*_xlfn.XLOOKUP(D174,Stok_Baju!B:B,Stok_Baju!D:D),0)</f>
        <v>0</v>
      </c>
      <c r="I174" s="1" t="str">
        <f t="shared" si="10"/>
        <v/>
      </c>
    </row>
    <row r="175" spans="6:9" x14ac:dyDescent="0.3">
      <c r="F175" s="1"/>
      <c r="G175" s="1" t="str">
        <f t="shared" si="9"/>
        <v/>
      </c>
      <c r="H175" s="12">
        <f>IFERROR(E175*_xlfn.XLOOKUP(D175,Stok_Baju!B:B,Stok_Baju!D:D),0)</f>
        <v>0</v>
      </c>
      <c r="I175" s="1" t="str">
        <f t="shared" si="10"/>
        <v/>
      </c>
    </row>
    <row r="176" spans="6:9" x14ac:dyDescent="0.3">
      <c r="F176" s="1"/>
      <c r="G176" s="1" t="str">
        <f t="shared" si="9"/>
        <v/>
      </c>
      <c r="H176" s="12">
        <f>IFERROR(E176*_xlfn.XLOOKUP(D176,Stok_Baju!B:B,Stok_Baju!D:D),0)</f>
        <v>0</v>
      </c>
      <c r="I176" s="1" t="str">
        <f t="shared" si="10"/>
        <v/>
      </c>
    </row>
    <row r="177" spans="6:9" x14ac:dyDescent="0.3">
      <c r="F177" s="1"/>
      <c r="G177" s="1" t="str">
        <f t="shared" si="9"/>
        <v/>
      </c>
      <c r="H177" s="12">
        <f>IFERROR(E177*_xlfn.XLOOKUP(D177,Stok_Baju!B:B,Stok_Baju!D:D),0)</f>
        <v>0</v>
      </c>
      <c r="I177" s="1" t="str">
        <f t="shared" si="10"/>
        <v/>
      </c>
    </row>
    <row r="178" spans="6:9" x14ac:dyDescent="0.3">
      <c r="F178" s="1"/>
      <c r="G178" s="1" t="str">
        <f t="shared" si="9"/>
        <v/>
      </c>
      <c r="H178" s="12">
        <f>IFERROR(E178*_xlfn.XLOOKUP(D178,Stok_Baju!B:B,Stok_Baju!D:D),0)</f>
        <v>0</v>
      </c>
      <c r="I178" s="1" t="str">
        <f t="shared" si="10"/>
        <v/>
      </c>
    </row>
    <row r="179" spans="6:9" x14ac:dyDescent="0.3">
      <c r="F179" s="1"/>
      <c r="G179" s="1" t="str">
        <f t="shared" ref="G179:G242" si="11">IF(OR(E179="",F179=""),"",E179*F179)</f>
        <v/>
      </c>
      <c r="H179" s="12">
        <f>IFERROR(E179*_xlfn.XLOOKUP(D179,Stok_Baju!B:B,Stok_Baju!D:D),0)</f>
        <v>0</v>
      </c>
      <c r="I179" s="1" t="str">
        <f t="shared" ref="I179:I242" si="12">IF(G179="","",G179-H179)</f>
        <v/>
      </c>
    </row>
    <row r="180" spans="6:9" x14ac:dyDescent="0.3">
      <c r="F180" s="1"/>
      <c r="G180" s="1" t="str">
        <f t="shared" si="11"/>
        <v/>
      </c>
      <c r="H180" s="12">
        <f>IFERROR(E180*_xlfn.XLOOKUP(D180,Stok_Baju!B:B,Stok_Baju!D:D),0)</f>
        <v>0</v>
      </c>
      <c r="I180" s="1" t="str">
        <f t="shared" si="12"/>
        <v/>
      </c>
    </row>
    <row r="181" spans="6:9" x14ac:dyDescent="0.3">
      <c r="F181" s="1"/>
      <c r="G181" s="1" t="str">
        <f t="shared" si="11"/>
        <v/>
      </c>
      <c r="H181" s="12">
        <f>IFERROR(E181*_xlfn.XLOOKUP(D181,Stok_Baju!B:B,Stok_Baju!D:D),0)</f>
        <v>0</v>
      </c>
      <c r="I181" s="1" t="str">
        <f t="shared" si="12"/>
        <v/>
      </c>
    </row>
    <row r="182" spans="6:9" x14ac:dyDescent="0.3">
      <c r="F182" s="1"/>
      <c r="G182" s="1" t="str">
        <f t="shared" si="11"/>
        <v/>
      </c>
      <c r="H182" s="12">
        <f>IFERROR(E182*_xlfn.XLOOKUP(D182,Stok_Baju!B:B,Stok_Baju!D:D),0)</f>
        <v>0</v>
      </c>
      <c r="I182" s="1" t="str">
        <f t="shared" si="12"/>
        <v/>
      </c>
    </row>
    <row r="183" spans="6:9" x14ac:dyDescent="0.3">
      <c r="F183" s="1"/>
      <c r="G183" s="1" t="str">
        <f t="shared" si="11"/>
        <v/>
      </c>
      <c r="H183" s="12">
        <f>IFERROR(E183*_xlfn.XLOOKUP(D183,Stok_Baju!B:B,Stok_Baju!D:D),0)</f>
        <v>0</v>
      </c>
      <c r="I183" s="1" t="str">
        <f t="shared" si="12"/>
        <v/>
      </c>
    </row>
    <row r="184" spans="6:9" x14ac:dyDescent="0.3">
      <c r="F184" s="1"/>
      <c r="G184" s="1" t="str">
        <f t="shared" si="11"/>
        <v/>
      </c>
      <c r="H184" s="12">
        <f>IFERROR(E184*_xlfn.XLOOKUP(D184,Stok_Baju!B:B,Stok_Baju!D:D),0)</f>
        <v>0</v>
      </c>
      <c r="I184" s="1" t="str">
        <f t="shared" si="12"/>
        <v/>
      </c>
    </row>
    <row r="185" spans="6:9" x14ac:dyDescent="0.3">
      <c r="F185" s="1"/>
      <c r="G185" s="1" t="str">
        <f t="shared" si="11"/>
        <v/>
      </c>
      <c r="H185" s="12">
        <f>IFERROR(E185*_xlfn.XLOOKUP(D185,Stok_Baju!B:B,Stok_Baju!D:D),0)</f>
        <v>0</v>
      </c>
      <c r="I185" s="1" t="str">
        <f t="shared" si="12"/>
        <v/>
      </c>
    </row>
    <row r="186" spans="6:9" x14ac:dyDescent="0.3">
      <c r="F186" s="1"/>
      <c r="G186" s="1" t="str">
        <f t="shared" si="11"/>
        <v/>
      </c>
      <c r="H186" s="12">
        <f>IFERROR(E186*_xlfn.XLOOKUP(D186,Stok_Baju!B:B,Stok_Baju!D:D),0)</f>
        <v>0</v>
      </c>
      <c r="I186" s="1" t="str">
        <f t="shared" si="12"/>
        <v/>
      </c>
    </row>
    <row r="187" spans="6:9" x14ac:dyDescent="0.3">
      <c r="F187" s="1"/>
      <c r="G187" s="1" t="str">
        <f t="shared" si="11"/>
        <v/>
      </c>
      <c r="H187" s="12">
        <f>IFERROR(E187*_xlfn.XLOOKUP(D187,Stok_Baju!B:B,Stok_Baju!D:D),0)</f>
        <v>0</v>
      </c>
      <c r="I187" s="1" t="str">
        <f t="shared" si="12"/>
        <v/>
      </c>
    </row>
    <row r="188" spans="6:9" x14ac:dyDescent="0.3">
      <c r="F188" s="1"/>
      <c r="G188" s="1" t="str">
        <f t="shared" si="11"/>
        <v/>
      </c>
      <c r="H188" s="12">
        <f>IFERROR(E188*_xlfn.XLOOKUP(D188,Stok_Baju!B:B,Stok_Baju!D:D),0)</f>
        <v>0</v>
      </c>
      <c r="I188" s="1" t="str">
        <f t="shared" si="12"/>
        <v/>
      </c>
    </row>
    <row r="189" spans="6:9" x14ac:dyDescent="0.3">
      <c r="F189" s="1"/>
      <c r="G189" s="1" t="str">
        <f t="shared" si="11"/>
        <v/>
      </c>
      <c r="H189" s="12">
        <f>IFERROR(E189*_xlfn.XLOOKUP(D189,Stok_Baju!B:B,Stok_Baju!D:D),0)</f>
        <v>0</v>
      </c>
      <c r="I189" s="1" t="str">
        <f t="shared" si="12"/>
        <v/>
      </c>
    </row>
    <row r="190" spans="6:9" x14ac:dyDescent="0.3">
      <c r="F190" s="1"/>
      <c r="G190" s="1" t="str">
        <f t="shared" si="11"/>
        <v/>
      </c>
      <c r="H190" s="12">
        <f>IFERROR(E190*_xlfn.XLOOKUP(D190,Stok_Baju!B:B,Stok_Baju!D:D),0)</f>
        <v>0</v>
      </c>
      <c r="I190" s="1" t="str">
        <f t="shared" si="12"/>
        <v/>
      </c>
    </row>
    <row r="191" spans="6:9" x14ac:dyDescent="0.3">
      <c r="F191" s="1"/>
      <c r="G191" s="1" t="str">
        <f t="shared" si="11"/>
        <v/>
      </c>
      <c r="H191" s="12">
        <f>IFERROR(E191*_xlfn.XLOOKUP(D191,Stok_Baju!B:B,Stok_Baju!D:D),0)</f>
        <v>0</v>
      </c>
      <c r="I191" s="1" t="str">
        <f t="shared" si="12"/>
        <v/>
      </c>
    </row>
    <row r="192" spans="6:9" x14ac:dyDescent="0.3">
      <c r="F192" s="1"/>
      <c r="G192" s="1" t="str">
        <f t="shared" si="11"/>
        <v/>
      </c>
      <c r="H192" s="12">
        <f>IFERROR(E192*_xlfn.XLOOKUP(D192,Stok_Baju!B:B,Stok_Baju!D:D),0)</f>
        <v>0</v>
      </c>
      <c r="I192" s="1" t="str">
        <f t="shared" si="12"/>
        <v/>
      </c>
    </row>
    <row r="193" spans="6:9" x14ac:dyDescent="0.3">
      <c r="F193" s="1"/>
      <c r="G193" s="1" t="str">
        <f t="shared" si="11"/>
        <v/>
      </c>
      <c r="H193" s="12">
        <f>IFERROR(E193*_xlfn.XLOOKUP(D193,Stok_Baju!B:B,Stok_Baju!D:D),0)</f>
        <v>0</v>
      </c>
      <c r="I193" s="1" t="str">
        <f t="shared" si="12"/>
        <v/>
      </c>
    </row>
    <row r="194" spans="6:9" x14ac:dyDescent="0.3">
      <c r="F194" s="1"/>
      <c r="G194" s="1" t="str">
        <f t="shared" si="11"/>
        <v/>
      </c>
      <c r="H194" s="12">
        <f>IFERROR(E194*_xlfn.XLOOKUP(D194,Stok_Baju!B:B,Stok_Baju!D:D),0)</f>
        <v>0</v>
      </c>
      <c r="I194" s="1" t="str">
        <f t="shared" si="12"/>
        <v/>
      </c>
    </row>
    <row r="195" spans="6:9" x14ac:dyDescent="0.3">
      <c r="F195" s="1"/>
      <c r="G195" s="1" t="str">
        <f t="shared" si="11"/>
        <v/>
      </c>
      <c r="H195" s="12">
        <f>IFERROR(E195*_xlfn.XLOOKUP(D195,Stok_Baju!B:B,Stok_Baju!D:D),0)</f>
        <v>0</v>
      </c>
      <c r="I195" s="1" t="str">
        <f t="shared" si="12"/>
        <v/>
      </c>
    </row>
    <row r="196" spans="6:9" x14ac:dyDescent="0.3">
      <c r="F196" s="1"/>
      <c r="G196" s="1" t="str">
        <f t="shared" si="11"/>
        <v/>
      </c>
      <c r="H196" s="12">
        <f>IFERROR(E196*_xlfn.XLOOKUP(D196,Stok_Baju!B:B,Stok_Baju!D:D),0)</f>
        <v>0</v>
      </c>
      <c r="I196" s="1" t="str">
        <f t="shared" si="12"/>
        <v/>
      </c>
    </row>
    <row r="197" spans="6:9" x14ac:dyDescent="0.3">
      <c r="F197" s="1"/>
      <c r="G197" s="1" t="str">
        <f t="shared" si="11"/>
        <v/>
      </c>
      <c r="H197" s="12">
        <f>IFERROR(E197*_xlfn.XLOOKUP(D197,Stok_Baju!B:B,Stok_Baju!D:D),0)</f>
        <v>0</v>
      </c>
      <c r="I197" s="1" t="str">
        <f t="shared" si="12"/>
        <v/>
      </c>
    </row>
    <row r="198" spans="6:9" x14ac:dyDescent="0.3">
      <c r="F198" s="1"/>
      <c r="G198" s="1" t="str">
        <f t="shared" si="11"/>
        <v/>
      </c>
      <c r="H198" s="12">
        <f>IFERROR(E198*_xlfn.XLOOKUP(D198,Stok_Baju!B:B,Stok_Baju!D:D),0)</f>
        <v>0</v>
      </c>
      <c r="I198" s="1" t="str">
        <f t="shared" si="12"/>
        <v/>
      </c>
    </row>
    <row r="199" spans="6:9" x14ac:dyDescent="0.3">
      <c r="F199" s="1"/>
      <c r="G199" s="1" t="str">
        <f t="shared" si="11"/>
        <v/>
      </c>
      <c r="H199" s="12">
        <f>IFERROR(E199*_xlfn.XLOOKUP(D199,Stok_Baju!B:B,Stok_Baju!D:D),0)</f>
        <v>0</v>
      </c>
      <c r="I199" s="1" t="str">
        <f t="shared" si="12"/>
        <v/>
      </c>
    </row>
    <row r="200" spans="6:9" x14ac:dyDescent="0.3">
      <c r="F200" s="1"/>
      <c r="G200" s="1" t="str">
        <f t="shared" si="11"/>
        <v/>
      </c>
      <c r="H200" s="12">
        <f>IFERROR(E200*_xlfn.XLOOKUP(D200,Stok_Baju!B:B,Stok_Baju!D:D),0)</f>
        <v>0</v>
      </c>
      <c r="I200" s="1" t="str">
        <f t="shared" si="12"/>
        <v/>
      </c>
    </row>
    <row r="201" spans="6:9" x14ac:dyDescent="0.3">
      <c r="F201" s="1"/>
      <c r="G201" s="1" t="str">
        <f t="shared" si="11"/>
        <v/>
      </c>
      <c r="H201" s="12">
        <f>IFERROR(E201*_xlfn.XLOOKUP(D201,Stok_Baju!B:B,Stok_Baju!D:D),0)</f>
        <v>0</v>
      </c>
      <c r="I201" s="1" t="str">
        <f t="shared" si="12"/>
        <v/>
      </c>
    </row>
    <row r="202" spans="6:9" x14ac:dyDescent="0.3">
      <c r="F202" s="1"/>
      <c r="G202" s="1" t="str">
        <f t="shared" si="11"/>
        <v/>
      </c>
      <c r="H202" s="12">
        <f>IFERROR(E202*_xlfn.XLOOKUP(D202,Stok_Baju!B:B,Stok_Baju!D:D),0)</f>
        <v>0</v>
      </c>
      <c r="I202" s="1" t="str">
        <f t="shared" si="12"/>
        <v/>
      </c>
    </row>
    <row r="203" spans="6:9" x14ac:dyDescent="0.3">
      <c r="F203" s="1"/>
      <c r="G203" s="1" t="str">
        <f t="shared" si="11"/>
        <v/>
      </c>
      <c r="H203" s="12">
        <f>IFERROR(E203*_xlfn.XLOOKUP(D203,Stok_Baju!B:B,Stok_Baju!D:D),0)</f>
        <v>0</v>
      </c>
      <c r="I203" s="1" t="str">
        <f t="shared" si="12"/>
        <v/>
      </c>
    </row>
    <row r="204" spans="6:9" x14ac:dyDescent="0.3">
      <c r="F204" s="1"/>
      <c r="G204" s="1" t="str">
        <f t="shared" si="11"/>
        <v/>
      </c>
      <c r="H204" s="12">
        <f>IFERROR(E204*_xlfn.XLOOKUP(D204,Stok_Baju!B:B,Stok_Baju!D:D),0)</f>
        <v>0</v>
      </c>
      <c r="I204" s="1" t="str">
        <f t="shared" si="12"/>
        <v/>
      </c>
    </row>
    <row r="205" spans="6:9" x14ac:dyDescent="0.3">
      <c r="F205" s="1"/>
      <c r="G205" s="1" t="str">
        <f t="shared" si="11"/>
        <v/>
      </c>
      <c r="H205" s="12">
        <f>IFERROR(E205*_xlfn.XLOOKUP(D205,Stok_Baju!B:B,Stok_Baju!D:D),0)</f>
        <v>0</v>
      </c>
      <c r="I205" s="1" t="str">
        <f t="shared" si="12"/>
        <v/>
      </c>
    </row>
    <row r="206" spans="6:9" x14ac:dyDescent="0.3">
      <c r="F206" s="1"/>
      <c r="G206" s="1" t="str">
        <f t="shared" si="11"/>
        <v/>
      </c>
      <c r="H206" s="12">
        <f>IFERROR(E206*_xlfn.XLOOKUP(D206,Stok_Baju!B:B,Stok_Baju!D:D),0)</f>
        <v>0</v>
      </c>
      <c r="I206" s="1" t="str">
        <f t="shared" si="12"/>
        <v/>
      </c>
    </row>
    <row r="207" spans="6:9" x14ac:dyDescent="0.3">
      <c r="F207" s="1"/>
      <c r="G207" s="1" t="str">
        <f t="shared" si="11"/>
        <v/>
      </c>
      <c r="H207" s="12">
        <f>IFERROR(E207*_xlfn.XLOOKUP(D207,Stok_Baju!B:B,Stok_Baju!D:D),0)</f>
        <v>0</v>
      </c>
      <c r="I207" s="1" t="str">
        <f t="shared" si="12"/>
        <v/>
      </c>
    </row>
    <row r="208" spans="6:9" x14ac:dyDescent="0.3">
      <c r="F208" s="1"/>
      <c r="G208" s="1" t="str">
        <f t="shared" si="11"/>
        <v/>
      </c>
      <c r="H208" s="12">
        <f>IFERROR(E208*_xlfn.XLOOKUP(D208,Stok_Baju!B:B,Stok_Baju!D:D),0)</f>
        <v>0</v>
      </c>
      <c r="I208" s="1" t="str">
        <f t="shared" si="12"/>
        <v/>
      </c>
    </row>
    <row r="209" spans="6:9" x14ac:dyDescent="0.3">
      <c r="F209" s="1"/>
      <c r="G209" s="1" t="str">
        <f t="shared" si="11"/>
        <v/>
      </c>
      <c r="H209" s="12">
        <f>IFERROR(E209*_xlfn.XLOOKUP(D209,Stok_Baju!B:B,Stok_Baju!D:D),0)</f>
        <v>0</v>
      </c>
      <c r="I209" s="1" t="str">
        <f t="shared" si="12"/>
        <v/>
      </c>
    </row>
    <row r="210" spans="6:9" x14ac:dyDescent="0.3">
      <c r="F210" s="1"/>
      <c r="G210" s="1" t="str">
        <f t="shared" si="11"/>
        <v/>
      </c>
      <c r="H210" s="12">
        <f>IFERROR(E210*_xlfn.XLOOKUP(D210,Stok_Baju!B:B,Stok_Baju!D:D),0)</f>
        <v>0</v>
      </c>
      <c r="I210" s="1" t="str">
        <f t="shared" si="12"/>
        <v/>
      </c>
    </row>
    <row r="211" spans="6:9" x14ac:dyDescent="0.3">
      <c r="F211" s="1"/>
      <c r="G211" s="1" t="str">
        <f t="shared" si="11"/>
        <v/>
      </c>
      <c r="H211" s="12">
        <f>IFERROR(E211*_xlfn.XLOOKUP(D211,Stok_Baju!B:B,Stok_Baju!D:D),0)</f>
        <v>0</v>
      </c>
      <c r="I211" s="1" t="str">
        <f t="shared" si="12"/>
        <v/>
      </c>
    </row>
    <row r="212" spans="6:9" x14ac:dyDescent="0.3">
      <c r="F212" s="1"/>
      <c r="G212" s="1" t="str">
        <f t="shared" si="11"/>
        <v/>
      </c>
      <c r="H212" s="12">
        <f>IFERROR(E212*_xlfn.XLOOKUP(D212,Stok_Baju!B:B,Stok_Baju!D:D),0)</f>
        <v>0</v>
      </c>
      <c r="I212" s="1" t="str">
        <f t="shared" si="12"/>
        <v/>
      </c>
    </row>
    <row r="213" spans="6:9" x14ac:dyDescent="0.3">
      <c r="F213" s="1"/>
      <c r="G213" s="1" t="str">
        <f t="shared" si="11"/>
        <v/>
      </c>
      <c r="H213" s="12">
        <f>IFERROR(E213*_xlfn.XLOOKUP(D213,Stok_Baju!B:B,Stok_Baju!D:D),0)</f>
        <v>0</v>
      </c>
      <c r="I213" s="1" t="str">
        <f t="shared" si="12"/>
        <v/>
      </c>
    </row>
    <row r="214" spans="6:9" x14ac:dyDescent="0.3">
      <c r="F214" s="1"/>
      <c r="G214" s="1" t="str">
        <f t="shared" si="11"/>
        <v/>
      </c>
      <c r="H214" s="12">
        <f>IFERROR(E214*_xlfn.XLOOKUP(D214,Stok_Baju!B:B,Stok_Baju!D:D),0)</f>
        <v>0</v>
      </c>
      <c r="I214" s="1" t="str">
        <f t="shared" si="12"/>
        <v/>
      </c>
    </row>
    <row r="215" spans="6:9" x14ac:dyDescent="0.3">
      <c r="F215" s="1"/>
      <c r="G215" s="1" t="str">
        <f t="shared" si="11"/>
        <v/>
      </c>
      <c r="H215" s="12">
        <f>IFERROR(E215*_xlfn.XLOOKUP(D215,Stok_Baju!B:B,Stok_Baju!D:D),0)</f>
        <v>0</v>
      </c>
      <c r="I215" s="1" t="str">
        <f t="shared" si="12"/>
        <v/>
      </c>
    </row>
    <row r="216" spans="6:9" x14ac:dyDescent="0.3">
      <c r="F216" s="1"/>
      <c r="G216" s="1" t="str">
        <f t="shared" si="11"/>
        <v/>
      </c>
      <c r="H216" s="12">
        <f>IFERROR(E216*_xlfn.XLOOKUP(D216,Stok_Baju!B:B,Stok_Baju!D:D),0)</f>
        <v>0</v>
      </c>
      <c r="I216" s="1" t="str">
        <f t="shared" si="12"/>
        <v/>
      </c>
    </row>
    <row r="217" spans="6:9" x14ac:dyDescent="0.3">
      <c r="F217" s="1"/>
      <c r="G217" s="1" t="str">
        <f t="shared" si="11"/>
        <v/>
      </c>
      <c r="H217" s="12">
        <f>IFERROR(E217*_xlfn.XLOOKUP(D217,Stok_Baju!B:B,Stok_Baju!D:D),0)</f>
        <v>0</v>
      </c>
      <c r="I217" s="1" t="str">
        <f t="shared" si="12"/>
        <v/>
      </c>
    </row>
    <row r="218" spans="6:9" x14ac:dyDescent="0.3">
      <c r="F218" s="1"/>
      <c r="G218" s="1" t="str">
        <f t="shared" si="11"/>
        <v/>
      </c>
      <c r="H218" s="12">
        <f>IFERROR(E218*_xlfn.XLOOKUP(D218,Stok_Baju!B:B,Stok_Baju!D:D),0)</f>
        <v>0</v>
      </c>
      <c r="I218" s="1" t="str">
        <f t="shared" si="12"/>
        <v/>
      </c>
    </row>
    <row r="219" spans="6:9" x14ac:dyDescent="0.3">
      <c r="F219" s="1"/>
      <c r="G219" s="1" t="str">
        <f t="shared" si="11"/>
        <v/>
      </c>
      <c r="H219" s="12">
        <f>IFERROR(E219*_xlfn.XLOOKUP(D219,Stok_Baju!B:B,Stok_Baju!D:D),0)</f>
        <v>0</v>
      </c>
      <c r="I219" s="1" t="str">
        <f t="shared" si="12"/>
        <v/>
      </c>
    </row>
    <row r="220" spans="6:9" x14ac:dyDescent="0.3">
      <c r="F220" s="1"/>
      <c r="G220" s="1" t="str">
        <f t="shared" si="11"/>
        <v/>
      </c>
      <c r="H220" s="12">
        <f>IFERROR(E220*_xlfn.XLOOKUP(D220,Stok_Baju!B:B,Stok_Baju!D:D),0)</f>
        <v>0</v>
      </c>
      <c r="I220" s="1" t="str">
        <f t="shared" si="12"/>
        <v/>
      </c>
    </row>
    <row r="221" spans="6:9" x14ac:dyDescent="0.3">
      <c r="F221" s="1"/>
      <c r="G221" s="1" t="str">
        <f t="shared" si="11"/>
        <v/>
      </c>
      <c r="H221" s="12">
        <f>IFERROR(E221*_xlfn.XLOOKUP(D221,Stok_Baju!B:B,Stok_Baju!D:D),0)</f>
        <v>0</v>
      </c>
      <c r="I221" s="1" t="str">
        <f t="shared" si="12"/>
        <v/>
      </c>
    </row>
    <row r="222" spans="6:9" x14ac:dyDescent="0.3">
      <c r="F222" s="1"/>
      <c r="G222" s="1" t="str">
        <f t="shared" si="11"/>
        <v/>
      </c>
      <c r="H222" s="12">
        <f>IFERROR(E222*_xlfn.XLOOKUP(D222,Stok_Baju!B:B,Stok_Baju!D:D),0)</f>
        <v>0</v>
      </c>
      <c r="I222" s="1" t="str">
        <f t="shared" si="12"/>
        <v/>
      </c>
    </row>
    <row r="223" spans="6:9" x14ac:dyDescent="0.3">
      <c r="F223" s="1"/>
      <c r="G223" s="1" t="str">
        <f t="shared" si="11"/>
        <v/>
      </c>
      <c r="H223" s="12">
        <f>IFERROR(E223*_xlfn.XLOOKUP(D223,Stok_Baju!B:B,Stok_Baju!D:D),0)</f>
        <v>0</v>
      </c>
      <c r="I223" s="1" t="str">
        <f t="shared" si="12"/>
        <v/>
      </c>
    </row>
    <row r="224" spans="6:9" x14ac:dyDescent="0.3">
      <c r="F224" s="1"/>
      <c r="G224" s="1" t="str">
        <f t="shared" si="11"/>
        <v/>
      </c>
      <c r="H224" s="12">
        <f>IFERROR(E224*_xlfn.XLOOKUP(D224,Stok_Baju!B:B,Stok_Baju!D:D),0)</f>
        <v>0</v>
      </c>
      <c r="I224" s="1" t="str">
        <f t="shared" si="12"/>
        <v/>
      </c>
    </row>
    <row r="225" spans="6:9" x14ac:dyDescent="0.3">
      <c r="F225" s="1"/>
      <c r="G225" s="1" t="str">
        <f t="shared" si="11"/>
        <v/>
      </c>
      <c r="H225" s="12">
        <f>IFERROR(E225*_xlfn.XLOOKUP(D225,Stok_Baju!B:B,Stok_Baju!D:D),0)</f>
        <v>0</v>
      </c>
      <c r="I225" s="1" t="str">
        <f t="shared" si="12"/>
        <v/>
      </c>
    </row>
    <row r="226" spans="6:9" x14ac:dyDescent="0.3">
      <c r="F226" s="1"/>
      <c r="G226" s="1" t="str">
        <f t="shared" si="11"/>
        <v/>
      </c>
      <c r="H226" s="12">
        <f>IFERROR(E226*_xlfn.XLOOKUP(D226,Stok_Baju!B:B,Stok_Baju!D:D),0)</f>
        <v>0</v>
      </c>
      <c r="I226" s="1" t="str">
        <f t="shared" si="12"/>
        <v/>
      </c>
    </row>
    <row r="227" spans="6:9" x14ac:dyDescent="0.3">
      <c r="F227" s="1"/>
      <c r="G227" s="1" t="str">
        <f t="shared" si="11"/>
        <v/>
      </c>
      <c r="H227" s="12">
        <f>IFERROR(E227*_xlfn.XLOOKUP(D227,Stok_Baju!B:B,Stok_Baju!D:D),0)</f>
        <v>0</v>
      </c>
      <c r="I227" s="1" t="str">
        <f t="shared" si="12"/>
        <v/>
      </c>
    </row>
    <row r="228" spans="6:9" x14ac:dyDescent="0.3">
      <c r="F228" s="1"/>
      <c r="G228" s="1" t="str">
        <f t="shared" si="11"/>
        <v/>
      </c>
      <c r="H228" s="12">
        <f>IFERROR(E228*_xlfn.XLOOKUP(D228,Stok_Baju!B:B,Stok_Baju!D:D),0)</f>
        <v>0</v>
      </c>
      <c r="I228" s="1" t="str">
        <f t="shared" si="12"/>
        <v/>
      </c>
    </row>
    <row r="229" spans="6:9" x14ac:dyDescent="0.3">
      <c r="F229" s="1"/>
      <c r="G229" s="1" t="str">
        <f t="shared" si="11"/>
        <v/>
      </c>
      <c r="H229" s="12">
        <f>IFERROR(E229*_xlfn.XLOOKUP(D229,Stok_Baju!B:B,Stok_Baju!D:D),0)</f>
        <v>0</v>
      </c>
      <c r="I229" s="1" t="str">
        <f t="shared" si="12"/>
        <v/>
      </c>
    </row>
    <row r="230" spans="6:9" x14ac:dyDescent="0.3">
      <c r="F230" s="1"/>
      <c r="G230" s="1" t="str">
        <f t="shared" si="11"/>
        <v/>
      </c>
      <c r="H230" s="12">
        <f>IFERROR(E230*_xlfn.XLOOKUP(D230,Stok_Baju!B:B,Stok_Baju!D:D),0)</f>
        <v>0</v>
      </c>
      <c r="I230" s="1" t="str">
        <f t="shared" si="12"/>
        <v/>
      </c>
    </row>
    <row r="231" spans="6:9" x14ac:dyDescent="0.3">
      <c r="F231" s="1"/>
      <c r="G231" s="1" t="str">
        <f t="shared" si="11"/>
        <v/>
      </c>
      <c r="H231" s="12">
        <f>IFERROR(E231*_xlfn.XLOOKUP(D231,Stok_Baju!B:B,Stok_Baju!D:D),0)</f>
        <v>0</v>
      </c>
      <c r="I231" s="1" t="str">
        <f t="shared" si="12"/>
        <v/>
      </c>
    </row>
    <row r="232" spans="6:9" x14ac:dyDescent="0.3">
      <c r="F232" s="1"/>
      <c r="G232" s="1" t="str">
        <f t="shared" si="11"/>
        <v/>
      </c>
      <c r="H232" s="12">
        <f>IFERROR(E232*_xlfn.XLOOKUP(D232,Stok_Baju!B:B,Stok_Baju!D:D),0)</f>
        <v>0</v>
      </c>
      <c r="I232" s="1" t="str">
        <f t="shared" si="12"/>
        <v/>
      </c>
    </row>
    <row r="233" spans="6:9" x14ac:dyDescent="0.3">
      <c r="F233" s="1"/>
      <c r="G233" s="1" t="str">
        <f t="shared" si="11"/>
        <v/>
      </c>
      <c r="H233" s="12">
        <f>IFERROR(E233*_xlfn.XLOOKUP(D233,Stok_Baju!B:B,Stok_Baju!D:D),0)</f>
        <v>0</v>
      </c>
      <c r="I233" s="1" t="str">
        <f t="shared" si="12"/>
        <v/>
      </c>
    </row>
    <row r="234" spans="6:9" x14ac:dyDescent="0.3">
      <c r="F234" s="1"/>
      <c r="G234" s="1" t="str">
        <f t="shared" si="11"/>
        <v/>
      </c>
      <c r="H234" s="12">
        <f>IFERROR(E234*_xlfn.XLOOKUP(D234,Stok_Baju!B:B,Stok_Baju!D:D),0)</f>
        <v>0</v>
      </c>
      <c r="I234" s="1" t="str">
        <f t="shared" si="12"/>
        <v/>
      </c>
    </row>
    <row r="235" spans="6:9" x14ac:dyDescent="0.3">
      <c r="F235" s="1"/>
      <c r="G235" s="1" t="str">
        <f t="shared" si="11"/>
        <v/>
      </c>
      <c r="H235" s="12">
        <f>IFERROR(E235*_xlfn.XLOOKUP(D235,Stok_Baju!B:B,Stok_Baju!D:D),0)</f>
        <v>0</v>
      </c>
      <c r="I235" s="1" t="str">
        <f t="shared" si="12"/>
        <v/>
      </c>
    </row>
    <row r="236" spans="6:9" x14ac:dyDescent="0.3">
      <c r="F236" s="1"/>
      <c r="G236" s="1" t="str">
        <f t="shared" si="11"/>
        <v/>
      </c>
      <c r="H236" s="12">
        <f>IFERROR(E236*_xlfn.XLOOKUP(D236,Stok_Baju!B:B,Stok_Baju!D:D),0)</f>
        <v>0</v>
      </c>
      <c r="I236" s="1" t="str">
        <f t="shared" si="12"/>
        <v/>
      </c>
    </row>
    <row r="237" spans="6:9" x14ac:dyDescent="0.3">
      <c r="F237" s="1"/>
      <c r="G237" s="1" t="str">
        <f t="shared" si="11"/>
        <v/>
      </c>
      <c r="H237" s="12">
        <f>IFERROR(E237*_xlfn.XLOOKUP(D237,Stok_Baju!B:B,Stok_Baju!D:D),0)</f>
        <v>0</v>
      </c>
      <c r="I237" s="1" t="str">
        <f t="shared" si="12"/>
        <v/>
      </c>
    </row>
    <row r="238" spans="6:9" x14ac:dyDescent="0.3">
      <c r="F238" s="1"/>
      <c r="G238" s="1" t="str">
        <f t="shared" si="11"/>
        <v/>
      </c>
      <c r="H238" s="12">
        <f>IFERROR(E238*_xlfn.XLOOKUP(D238,Stok_Baju!B:B,Stok_Baju!D:D),0)</f>
        <v>0</v>
      </c>
      <c r="I238" s="1" t="str">
        <f t="shared" si="12"/>
        <v/>
      </c>
    </row>
    <row r="239" spans="6:9" x14ac:dyDescent="0.3">
      <c r="F239" s="1"/>
      <c r="G239" s="1" t="str">
        <f t="shared" si="11"/>
        <v/>
      </c>
      <c r="H239" s="12">
        <f>IFERROR(E239*_xlfn.XLOOKUP(D239,Stok_Baju!B:B,Stok_Baju!D:D),0)</f>
        <v>0</v>
      </c>
      <c r="I239" s="1" t="str">
        <f t="shared" si="12"/>
        <v/>
      </c>
    </row>
    <row r="240" spans="6:9" x14ac:dyDescent="0.3">
      <c r="F240" s="1"/>
      <c r="G240" s="1" t="str">
        <f t="shared" si="11"/>
        <v/>
      </c>
      <c r="H240" s="12">
        <f>IFERROR(E240*_xlfn.XLOOKUP(D240,Stok_Baju!B:B,Stok_Baju!D:D),0)</f>
        <v>0</v>
      </c>
      <c r="I240" s="1" t="str">
        <f t="shared" si="12"/>
        <v/>
      </c>
    </row>
    <row r="241" spans="6:9" x14ac:dyDescent="0.3">
      <c r="F241" s="1"/>
      <c r="G241" s="1" t="str">
        <f t="shared" si="11"/>
        <v/>
      </c>
      <c r="H241" s="12">
        <f>IFERROR(E241*_xlfn.XLOOKUP(D241,Stok_Baju!B:B,Stok_Baju!D:D),0)</f>
        <v>0</v>
      </c>
      <c r="I241" s="1" t="str">
        <f t="shared" si="12"/>
        <v/>
      </c>
    </row>
    <row r="242" spans="6:9" x14ac:dyDescent="0.3">
      <c r="F242" s="1"/>
      <c r="G242" s="1" t="str">
        <f t="shared" si="11"/>
        <v/>
      </c>
      <c r="H242" s="12">
        <f>IFERROR(E242*_xlfn.XLOOKUP(D242,Stok_Baju!B:B,Stok_Baju!D:D),0)</f>
        <v>0</v>
      </c>
      <c r="I242" s="1" t="str">
        <f t="shared" si="12"/>
        <v/>
      </c>
    </row>
    <row r="243" spans="6:9" x14ac:dyDescent="0.3">
      <c r="F243" s="1"/>
      <c r="G243" s="1" t="str">
        <f t="shared" ref="G243:G306" si="13">IF(OR(E243="",F243=""),"",E243*F243)</f>
        <v/>
      </c>
      <c r="H243" s="12">
        <f>IFERROR(E243*_xlfn.XLOOKUP(D243,Stok_Baju!B:B,Stok_Baju!D:D),0)</f>
        <v>0</v>
      </c>
      <c r="I243" s="1" t="str">
        <f t="shared" ref="I243:I306" si="14">IF(G243="","",G243-H243)</f>
        <v/>
      </c>
    </row>
    <row r="244" spans="6:9" x14ac:dyDescent="0.3">
      <c r="F244" s="1"/>
      <c r="G244" s="1" t="str">
        <f t="shared" si="13"/>
        <v/>
      </c>
      <c r="H244" s="12">
        <f>IFERROR(E244*_xlfn.XLOOKUP(D244,Stok_Baju!B:B,Stok_Baju!D:D),0)</f>
        <v>0</v>
      </c>
      <c r="I244" s="1" t="str">
        <f t="shared" si="14"/>
        <v/>
      </c>
    </row>
    <row r="245" spans="6:9" x14ac:dyDescent="0.3">
      <c r="F245" s="1"/>
      <c r="G245" s="1" t="str">
        <f t="shared" si="13"/>
        <v/>
      </c>
      <c r="H245" s="12">
        <f>IFERROR(E245*_xlfn.XLOOKUP(D245,Stok_Baju!B:B,Stok_Baju!D:D),0)</f>
        <v>0</v>
      </c>
      <c r="I245" s="1" t="str">
        <f t="shared" si="14"/>
        <v/>
      </c>
    </row>
    <row r="246" spans="6:9" x14ac:dyDescent="0.3">
      <c r="F246" s="1"/>
      <c r="G246" s="1" t="str">
        <f t="shared" si="13"/>
        <v/>
      </c>
      <c r="H246" s="12">
        <f>IFERROR(E246*_xlfn.XLOOKUP(D246,Stok_Baju!B:B,Stok_Baju!D:D),0)</f>
        <v>0</v>
      </c>
      <c r="I246" s="1" t="str">
        <f t="shared" si="14"/>
        <v/>
      </c>
    </row>
    <row r="247" spans="6:9" x14ac:dyDescent="0.3">
      <c r="F247" s="1"/>
      <c r="G247" s="1" t="str">
        <f t="shared" si="13"/>
        <v/>
      </c>
      <c r="H247" s="12">
        <f>IFERROR(E247*_xlfn.XLOOKUP(D247,Stok_Baju!B:B,Stok_Baju!D:D),0)</f>
        <v>0</v>
      </c>
      <c r="I247" s="1" t="str">
        <f t="shared" si="14"/>
        <v/>
      </c>
    </row>
    <row r="248" spans="6:9" x14ac:dyDescent="0.3">
      <c r="F248" s="1"/>
      <c r="G248" s="1" t="str">
        <f t="shared" si="13"/>
        <v/>
      </c>
      <c r="H248" s="12">
        <f>IFERROR(E248*_xlfn.XLOOKUP(D248,Stok_Baju!B:B,Stok_Baju!D:D),0)</f>
        <v>0</v>
      </c>
      <c r="I248" s="1" t="str">
        <f t="shared" si="14"/>
        <v/>
      </c>
    </row>
    <row r="249" spans="6:9" x14ac:dyDescent="0.3">
      <c r="F249" s="1"/>
      <c r="G249" s="1" t="str">
        <f t="shared" si="13"/>
        <v/>
      </c>
      <c r="H249" s="12">
        <f>IFERROR(E249*_xlfn.XLOOKUP(D249,Stok_Baju!B:B,Stok_Baju!D:D),0)</f>
        <v>0</v>
      </c>
      <c r="I249" s="1" t="str">
        <f t="shared" si="14"/>
        <v/>
      </c>
    </row>
    <row r="250" spans="6:9" x14ac:dyDescent="0.3">
      <c r="F250" s="1"/>
      <c r="G250" s="1" t="str">
        <f t="shared" si="13"/>
        <v/>
      </c>
      <c r="H250" s="12">
        <f>IFERROR(E250*_xlfn.XLOOKUP(D250,Stok_Baju!B:B,Stok_Baju!D:D),0)</f>
        <v>0</v>
      </c>
      <c r="I250" s="1" t="str">
        <f t="shared" si="14"/>
        <v/>
      </c>
    </row>
    <row r="251" spans="6:9" x14ac:dyDescent="0.3">
      <c r="F251" s="1"/>
      <c r="G251" s="1" t="str">
        <f t="shared" si="13"/>
        <v/>
      </c>
      <c r="H251" s="12">
        <f>IFERROR(E251*_xlfn.XLOOKUP(D251,Stok_Baju!B:B,Stok_Baju!D:D),0)</f>
        <v>0</v>
      </c>
      <c r="I251" s="1" t="str">
        <f t="shared" si="14"/>
        <v/>
      </c>
    </row>
    <row r="252" spans="6:9" x14ac:dyDescent="0.3">
      <c r="F252" s="1"/>
      <c r="G252" s="1" t="str">
        <f t="shared" si="13"/>
        <v/>
      </c>
      <c r="H252" s="12">
        <f>IFERROR(E252*_xlfn.XLOOKUP(D252,Stok_Baju!B:B,Stok_Baju!D:D),0)</f>
        <v>0</v>
      </c>
      <c r="I252" s="1" t="str">
        <f t="shared" si="14"/>
        <v/>
      </c>
    </row>
    <row r="253" spans="6:9" x14ac:dyDescent="0.3">
      <c r="F253" s="1"/>
      <c r="G253" s="1" t="str">
        <f t="shared" si="13"/>
        <v/>
      </c>
      <c r="H253" s="12">
        <f>IFERROR(E253*_xlfn.XLOOKUP(D253,Stok_Baju!B:B,Stok_Baju!D:D),0)</f>
        <v>0</v>
      </c>
      <c r="I253" s="1" t="str">
        <f t="shared" si="14"/>
        <v/>
      </c>
    </row>
    <row r="254" spans="6:9" x14ac:dyDescent="0.3">
      <c r="F254" s="1"/>
      <c r="G254" s="1" t="str">
        <f t="shared" si="13"/>
        <v/>
      </c>
      <c r="H254" s="12">
        <f>IFERROR(E254*_xlfn.XLOOKUP(D254,Stok_Baju!B:B,Stok_Baju!D:D),0)</f>
        <v>0</v>
      </c>
      <c r="I254" s="1" t="str">
        <f t="shared" si="14"/>
        <v/>
      </c>
    </row>
    <row r="255" spans="6:9" x14ac:dyDescent="0.3">
      <c r="F255" s="1"/>
      <c r="G255" s="1" t="str">
        <f t="shared" si="13"/>
        <v/>
      </c>
      <c r="H255" s="12">
        <f>IFERROR(E255*_xlfn.XLOOKUP(D255,Stok_Baju!B:B,Stok_Baju!D:D),0)</f>
        <v>0</v>
      </c>
      <c r="I255" s="1" t="str">
        <f t="shared" si="14"/>
        <v/>
      </c>
    </row>
    <row r="256" spans="6:9" x14ac:dyDescent="0.3">
      <c r="F256" s="1"/>
      <c r="G256" s="1" t="str">
        <f t="shared" si="13"/>
        <v/>
      </c>
      <c r="H256" s="12">
        <f>IFERROR(E256*_xlfn.XLOOKUP(D256,Stok_Baju!B:B,Stok_Baju!D:D),0)</f>
        <v>0</v>
      </c>
      <c r="I256" s="1" t="str">
        <f t="shared" si="14"/>
        <v/>
      </c>
    </row>
    <row r="257" spans="6:9" x14ac:dyDescent="0.3">
      <c r="F257" s="1"/>
      <c r="G257" s="1" t="str">
        <f t="shared" si="13"/>
        <v/>
      </c>
      <c r="H257" s="12">
        <f>IFERROR(E257*_xlfn.XLOOKUP(D257,Stok_Baju!B:B,Stok_Baju!D:D),0)</f>
        <v>0</v>
      </c>
      <c r="I257" s="1" t="str">
        <f t="shared" si="14"/>
        <v/>
      </c>
    </row>
    <row r="258" spans="6:9" x14ac:dyDescent="0.3">
      <c r="F258" s="1"/>
      <c r="G258" s="1" t="str">
        <f t="shared" si="13"/>
        <v/>
      </c>
      <c r="H258" s="12">
        <f>IFERROR(E258*_xlfn.XLOOKUP(D258,Stok_Baju!B:B,Stok_Baju!D:D),0)</f>
        <v>0</v>
      </c>
      <c r="I258" s="1" t="str">
        <f t="shared" si="14"/>
        <v/>
      </c>
    </row>
    <row r="259" spans="6:9" x14ac:dyDescent="0.3">
      <c r="F259" s="1"/>
      <c r="G259" s="1" t="str">
        <f t="shared" si="13"/>
        <v/>
      </c>
      <c r="H259" s="12">
        <f>IFERROR(E259*_xlfn.XLOOKUP(D259,Stok_Baju!B:B,Stok_Baju!D:D),0)</f>
        <v>0</v>
      </c>
      <c r="I259" s="1" t="str">
        <f t="shared" si="14"/>
        <v/>
      </c>
    </row>
    <row r="260" spans="6:9" x14ac:dyDescent="0.3">
      <c r="F260" s="1"/>
      <c r="G260" s="1" t="str">
        <f t="shared" si="13"/>
        <v/>
      </c>
      <c r="H260" s="12">
        <f>IFERROR(E260*_xlfn.XLOOKUP(D260,Stok_Baju!B:B,Stok_Baju!D:D),0)</f>
        <v>0</v>
      </c>
      <c r="I260" s="1" t="str">
        <f t="shared" si="14"/>
        <v/>
      </c>
    </row>
    <row r="261" spans="6:9" x14ac:dyDescent="0.3">
      <c r="F261" s="1"/>
      <c r="G261" s="1" t="str">
        <f t="shared" si="13"/>
        <v/>
      </c>
      <c r="H261" s="12">
        <f>IFERROR(E261*_xlfn.XLOOKUP(D261,Stok_Baju!B:B,Stok_Baju!D:D),0)</f>
        <v>0</v>
      </c>
      <c r="I261" s="1" t="str">
        <f t="shared" si="14"/>
        <v/>
      </c>
    </row>
    <row r="262" spans="6:9" x14ac:dyDescent="0.3">
      <c r="F262" s="1"/>
      <c r="G262" s="1" t="str">
        <f t="shared" si="13"/>
        <v/>
      </c>
      <c r="H262" s="12">
        <f>IFERROR(E262*_xlfn.XLOOKUP(D262,Stok_Baju!B:B,Stok_Baju!D:D),0)</f>
        <v>0</v>
      </c>
      <c r="I262" s="1" t="str">
        <f t="shared" si="14"/>
        <v/>
      </c>
    </row>
    <row r="263" spans="6:9" x14ac:dyDescent="0.3">
      <c r="F263" s="1"/>
      <c r="G263" s="1" t="str">
        <f t="shared" si="13"/>
        <v/>
      </c>
      <c r="H263" s="12">
        <f>IFERROR(E263*_xlfn.XLOOKUP(D263,Stok_Baju!B:B,Stok_Baju!D:D),0)</f>
        <v>0</v>
      </c>
      <c r="I263" s="1" t="str">
        <f t="shared" si="14"/>
        <v/>
      </c>
    </row>
    <row r="264" spans="6:9" x14ac:dyDescent="0.3">
      <c r="F264" s="1"/>
      <c r="G264" s="1" t="str">
        <f t="shared" si="13"/>
        <v/>
      </c>
      <c r="H264" s="12">
        <f>IFERROR(E264*_xlfn.XLOOKUP(D264,Stok_Baju!B:B,Stok_Baju!D:D),0)</f>
        <v>0</v>
      </c>
      <c r="I264" s="1" t="str">
        <f t="shared" si="14"/>
        <v/>
      </c>
    </row>
    <row r="265" spans="6:9" x14ac:dyDescent="0.3">
      <c r="F265" s="1"/>
      <c r="G265" s="1" t="str">
        <f t="shared" si="13"/>
        <v/>
      </c>
      <c r="H265" s="12">
        <f>IFERROR(E265*_xlfn.XLOOKUP(D265,Stok_Baju!B:B,Stok_Baju!D:D),0)</f>
        <v>0</v>
      </c>
      <c r="I265" s="1" t="str">
        <f t="shared" si="14"/>
        <v/>
      </c>
    </row>
    <row r="266" spans="6:9" x14ac:dyDescent="0.3">
      <c r="F266" s="1"/>
      <c r="G266" s="1" t="str">
        <f t="shared" si="13"/>
        <v/>
      </c>
      <c r="H266" s="12">
        <f>IFERROR(E266*_xlfn.XLOOKUP(D266,Stok_Baju!B:B,Stok_Baju!D:D),0)</f>
        <v>0</v>
      </c>
      <c r="I266" s="1" t="str">
        <f t="shared" si="14"/>
        <v/>
      </c>
    </row>
    <row r="267" spans="6:9" x14ac:dyDescent="0.3">
      <c r="F267" s="1"/>
      <c r="G267" s="1" t="str">
        <f t="shared" si="13"/>
        <v/>
      </c>
      <c r="H267" s="12">
        <f>IFERROR(E267*_xlfn.XLOOKUP(D267,Stok_Baju!B:B,Stok_Baju!D:D),0)</f>
        <v>0</v>
      </c>
      <c r="I267" s="1" t="str">
        <f t="shared" si="14"/>
        <v/>
      </c>
    </row>
    <row r="268" spans="6:9" x14ac:dyDescent="0.3">
      <c r="F268" s="1"/>
      <c r="G268" s="1" t="str">
        <f t="shared" si="13"/>
        <v/>
      </c>
      <c r="H268" s="12">
        <f>IFERROR(E268*_xlfn.XLOOKUP(D268,Stok_Baju!B:B,Stok_Baju!D:D),0)</f>
        <v>0</v>
      </c>
      <c r="I268" s="1" t="str">
        <f t="shared" si="14"/>
        <v/>
      </c>
    </row>
    <row r="269" spans="6:9" x14ac:dyDescent="0.3">
      <c r="F269" s="1"/>
      <c r="G269" s="1" t="str">
        <f t="shared" si="13"/>
        <v/>
      </c>
      <c r="H269" s="12">
        <f>IFERROR(E269*_xlfn.XLOOKUP(D269,Stok_Baju!B:B,Stok_Baju!D:D),0)</f>
        <v>0</v>
      </c>
      <c r="I269" s="1" t="str">
        <f t="shared" si="14"/>
        <v/>
      </c>
    </row>
    <row r="270" spans="6:9" x14ac:dyDescent="0.3">
      <c r="F270" s="1"/>
      <c r="G270" s="1" t="str">
        <f t="shared" si="13"/>
        <v/>
      </c>
      <c r="H270" s="12">
        <f>IFERROR(E270*_xlfn.XLOOKUP(D270,Stok_Baju!B:B,Stok_Baju!D:D),0)</f>
        <v>0</v>
      </c>
      <c r="I270" s="1" t="str">
        <f t="shared" si="14"/>
        <v/>
      </c>
    </row>
    <row r="271" spans="6:9" x14ac:dyDescent="0.3">
      <c r="F271" s="1"/>
      <c r="G271" s="1" t="str">
        <f t="shared" si="13"/>
        <v/>
      </c>
      <c r="H271" s="12">
        <f>IFERROR(E271*_xlfn.XLOOKUP(D271,Stok_Baju!B:B,Stok_Baju!D:D),0)</f>
        <v>0</v>
      </c>
      <c r="I271" s="1" t="str">
        <f t="shared" si="14"/>
        <v/>
      </c>
    </row>
    <row r="272" spans="6:9" x14ac:dyDescent="0.3">
      <c r="F272" s="1"/>
      <c r="G272" s="1" t="str">
        <f t="shared" si="13"/>
        <v/>
      </c>
      <c r="H272" s="12">
        <f>IFERROR(E272*_xlfn.XLOOKUP(D272,Stok_Baju!B:B,Stok_Baju!D:D),0)</f>
        <v>0</v>
      </c>
      <c r="I272" s="1" t="str">
        <f t="shared" si="14"/>
        <v/>
      </c>
    </row>
    <row r="273" spans="6:9" x14ac:dyDescent="0.3">
      <c r="F273" s="1"/>
      <c r="G273" s="1" t="str">
        <f t="shared" si="13"/>
        <v/>
      </c>
      <c r="H273" s="12">
        <f>IFERROR(E273*_xlfn.XLOOKUP(D273,Stok_Baju!B:B,Stok_Baju!D:D),0)</f>
        <v>0</v>
      </c>
      <c r="I273" s="1" t="str">
        <f t="shared" si="14"/>
        <v/>
      </c>
    </row>
    <row r="274" spans="6:9" x14ac:dyDescent="0.3">
      <c r="F274" s="1"/>
      <c r="G274" s="1" t="str">
        <f t="shared" si="13"/>
        <v/>
      </c>
      <c r="H274" s="12">
        <f>IFERROR(E274*_xlfn.XLOOKUP(D274,Stok_Baju!B:B,Stok_Baju!D:D),0)</f>
        <v>0</v>
      </c>
      <c r="I274" s="1" t="str">
        <f t="shared" si="14"/>
        <v/>
      </c>
    </row>
    <row r="275" spans="6:9" x14ac:dyDescent="0.3">
      <c r="F275" s="1"/>
      <c r="G275" s="1" t="str">
        <f t="shared" si="13"/>
        <v/>
      </c>
      <c r="H275" s="12">
        <f>IFERROR(E275*_xlfn.XLOOKUP(D275,Stok_Baju!B:B,Stok_Baju!D:D),0)</f>
        <v>0</v>
      </c>
      <c r="I275" s="1" t="str">
        <f t="shared" si="14"/>
        <v/>
      </c>
    </row>
    <row r="276" spans="6:9" x14ac:dyDescent="0.3">
      <c r="F276" s="1"/>
      <c r="G276" s="1" t="str">
        <f t="shared" si="13"/>
        <v/>
      </c>
      <c r="H276" s="12">
        <f>IFERROR(E276*_xlfn.XLOOKUP(D276,Stok_Baju!B:B,Stok_Baju!D:D),0)</f>
        <v>0</v>
      </c>
      <c r="I276" s="1" t="str">
        <f t="shared" si="14"/>
        <v/>
      </c>
    </row>
    <row r="277" spans="6:9" x14ac:dyDescent="0.3">
      <c r="F277" s="1"/>
      <c r="G277" s="1" t="str">
        <f t="shared" si="13"/>
        <v/>
      </c>
      <c r="H277" s="12">
        <f>IFERROR(E277*_xlfn.XLOOKUP(D277,Stok_Baju!B:B,Stok_Baju!D:D),0)</f>
        <v>0</v>
      </c>
      <c r="I277" s="1" t="str">
        <f t="shared" si="14"/>
        <v/>
      </c>
    </row>
    <row r="278" spans="6:9" x14ac:dyDescent="0.3">
      <c r="F278" s="1"/>
      <c r="G278" s="1" t="str">
        <f t="shared" si="13"/>
        <v/>
      </c>
      <c r="H278" s="12">
        <f>IFERROR(E278*_xlfn.XLOOKUP(D278,Stok_Baju!B:B,Stok_Baju!D:D),0)</f>
        <v>0</v>
      </c>
      <c r="I278" s="1" t="str">
        <f t="shared" si="14"/>
        <v/>
      </c>
    </row>
    <row r="279" spans="6:9" x14ac:dyDescent="0.3">
      <c r="F279" s="1"/>
      <c r="G279" s="1" t="str">
        <f t="shared" si="13"/>
        <v/>
      </c>
      <c r="H279" s="12">
        <f>IFERROR(E279*_xlfn.XLOOKUP(D279,Stok_Baju!B:B,Stok_Baju!D:D),0)</f>
        <v>0</v>
      </c>
      <c r="I279" s="1" t="str">
        <f t="shared" si="14"/>
        <v/>
      </c>
    </row>
    <row r="280" spans="6:9" x14ac:dyDescent="0.3">
      <c r="F280" s="1"/>
      <c r="G280" s="1" t="str">
        <f t="shared" si="13"/>
        <v/>
      </c>
      <c r="H280" s="12">
        <f>IFERROR(E280*_xlfn.XLOOKUP(D280,Stok_Baju!B:B,Stok_Baju!D:D),0)</f>
        <v>0</v>
      </c>
      <c r="I280" s="1" t="str">
        <f t="shared" si="14"/>
        <v/>
      </c>
    </row>
    <row r="281" spans="6:9" x14ac:dyDescent="0.3">
      <c r="F281" s="1"/>
      <c r="G281" s="1" t="str">
        <f t="shared" si="13"/>
        <v/>
      </c>
      <c r="H281" s="12">
        <f>IFERROR(E281*_xlfn.XLOOKUP(D281,Stok_Baju!B:B,Stok_Baju!D:D),0)</f>
        <v>0</v>
      </c>
      <c r="I281" s="1" t="str">
        <f t="shared" si="14"/>
        <v/>
      </c>
    </row>
    <row r="282" spans="6:9" x14ac:dyDescent="0.3">
      <c r="F282" s="1"/>
      <c r="G282" s="1" t="str">
        <f t="shared" si="13"/>
        <v/>
      </c>
      <c r="H282" s="12">
        <f>IFERROR(E282*_xlfn.XLOOKUP(D282,Stok_Baju!B:B,Stok_Baju!D:D),0)</f>
        <v>0</v>
      </c>
      <c r="I282" s="1" t="str">
        <f t="shared" si="14"/>
        <v/>
      </c>
    </row>
    <row r="283" spans="6:9" x14ac:dyDescent="0.3">
      <c r="F283" s="1"/>
      <c r="G283" s="1" t="str">
        <f t="shared" si="13"/>
        <v/>
      </c>
      <c r="H283" s="12">
        <f>IFERROR(E283*_xlfn.XLOOKUP(D283,Stok_Baju!B:B,Stok_Baju!D:D),0)</f>
        <v>0</v>
      </c>
      <c r="I283" s="1" t="str">
        <f t="shared" si="14"/>
        <v/>
      </c>
    </row>
    <row r="284" spans="6:9" x14ac:dyDescent="0.3">
      <c r="F284" s="1"/>
      <c r="G284" s="1" t="str">
        <f t="shared" si="13"/>
        <v/>
      </c>
      <c r="H284" s="12">
        <f>IFERROR(E284*_xlfn.XLOOKUP(D284,Stok_Baju!B:B,Stok_Baju!D:D),0)</f>
        <v>0</v>
      </c>
      <c r="I284" s="1" t="str">
        <f t="shared" si="14"/>
        <v/>
      </c>
    </row>
    <row r="285" spans="6:9" x14ac:dyDescent="0.3">
      <c r="F285" s="1"/>
      <c r="G285" s="1" t="str">
        <f t="shared" si="13"/>
        <v/>
      </c>
      <c r="H285" s="12">
        <f>IFERROR(E285*_xlfn.XLOOKUP(D285,Stok_Baju!B:B,Stok_Baju!D:D),0)</f>
        <v>0</v>
      </c>
      <c r="I285" s="1" t="str">
        <f t="shared" si="14"/>
        <v/>
      </c>
    </row>
    <row r="286" spans="6:9" x14ac:dyDescent="0.3">
      <c r="F286" s="1"/>
      <c r="G286" s="1" t="str">
        <f t="shared" si="13"/>
        <v/>
      </c>
      <c r="H286" s="12">
        <f>IFERROR(E286*_xlfn.XLOOKUP(D286,Stok_Baju!B:B,Stok_Baju!D:D),0)</f>
        <v>0</v>
      </c>
      <c r="I286" s="1" t="str">
        <f t="shared" si="14"/>
        <v/>
      </c>
    </row>
    <row r="287" spans="6:9" x14ac:dyDescent="0.3">
      <c r="F287" s="1"/>
      <c r="G287" s="1" t="str">
        <f t="shared" si="13"/>
        <v/>
      </c>
      <c r="H287" s="12">
        <f>IFERROR(E287*_xlfn.XLOOKUP(D287,Stok_Baju!B:B,Stok_Baju!D:D),0)</f>
        <v>0</v>
      </c>
      <c r="I287" s="1" t="str">
        <f t="shared" si="14"/>
        <v/>
      </c>
    </row>
    <row r="288" spans="6:9" x14ac:dyDescent="0.3">
      <c r="F288" s="1"/>
      <c r="G288" s="1" t="str">
        <f t="shared" si="13"/>
        <v/>
      </c>
      <c r="H288" s="12">
        <f>IFERROR(E288*_xlfn.XLOOKUP(D288,Stok_Baju!B:B,Stok_Baju!D:D),0)</f>
        <v>0</v>
      </c>
      <c r="I288" s="1" t="str">
        <f t="shared" si="14"/>
        <v/>
      </c>
    </row>
    <row r="289" spans="6:9" x14ac:dyDescent="0.3">
      <c r="F289" s="1"/>
      <c r="G289" s="1" t="str">
        <f t="shared" si="13"/>
        <v/>
      </c>
      <c r="H289" s="12">
        <f>IFERROR(E289*_xlfn.XLOOKUP(D289,Stok_Baju!B:B,Stok_Baju!D:D),0)</f>
        <v>0</v>
      </c>
      <c r="I289" s="1" t="str">
        <f t="shared" si="14"/>
        <v/>
      </c>
    </row>
    <row r="290" spans="6:9" x14ac:dyDescent="0.3">
      <c r="F290" s="1"/>
      <c r="G290" s="1" t="str">
        <f t="shared" si="13"/>
        <v/>
      </c>
      <c r="H290" s="12">
        <f>IFERROR(E290*_xlfn.XLOOKUP(D290,Stok_Baju!B:B,Stok_Baju!D:D),0)</f>
        <v>0</v>
      </c>
      <c r="I290" s="1" t="str">
        <f t="shared" si="14"/>
        <v/>
      </c>
    </row>
    <row r="291" spans="6:9" x14ac:dyDescent="0.3">
      <c r="F291" s="1"/>
      <c r="G291" s="1" t="str">
        <f t="shared" si="13"/>
        <v/>
      </c>
      <c r="H291" s="12">
        <f>IFERROR(E291*_xlfn.XLOOKUP(D291,Stok_Baju!B:B,Stok_Baju!D:D),0)</f>
        <v>0</v>
      </c>
      <c r="I291" s="1" t="str">
        <f t="shared" si="14"/>
        <v/>
      </c>
    </row>
    <row r="292" spans="6:9" x14ac:dyDescent="0.3">
      <c r="F292" s="1"/>
      <c r="G292" s="1" t="str">
        <f t="shared" si="13"/>
        <v/>
      </c>
      <c r="H292" s="12">
        <f>IFERROR(E292*_xlfn.XLOOKUP(D292,Stok_Baju!B:B,Stok_Baju!D:D),0)</f>
        <v>0</v>
      </c>
      <c r="I292" s="1" t="str">
        <f t="shared" si="14"/>
        <v/>
      </c>
    </row>
    <row r="293" spans="6:9" x14ac:dyDescent="0.3">
      <c r="F293" s="1"/>
      <c r="G293" s="1" t="str">
        <f t="shared" si="13"/>
        <v/>
      </c>
      <c r="H293" s="12">
        <f>IFERROR(E293*_xlfn.XLOOKUP(D293,Stok_Baju!B:B,Stok_Baju!D:D),0)</f>
        <v>0</v>
      </c>
      <c r="I293" s="1" t="str">
        <f t="shared" si="14"/>
        <v/>
      </c>
    </row>
    <row r="294" spans="6:9" x14ac:dyDescent="0.3">
      <c r="F294" s="1"/>
      <c r="G294" s="1" t="str">
        <f t="shared" si="13"/>
        <v/>
      </c>
      <c r="H294" s="12">
        <f>IFERROR(E294*_xlfn.XLOOKUP(D294,Stok_Baju!B:B,Stok_Baju!D:D),0)</f>
        <v>0</v>
      </c>
      <c r="I294" s="1" t="str">
        <f t="shared" si="14"/>
        <v/>
      </c>
    </row>
    <row r="295" spans="6:9" x14ac:dyDescent="0.3">
      <c r="F295" s="1"/>
      <c r="G295" s="1" t="str">
        <f t="shared" si="13"/>
        <v/>
      </c>
      <c r="H295" s="12">
        <f>IFERROR(E295*_xlfn.XLOOKUP(D295,Stok_Baju!B:B,Stok_Baju!D:D),0)</f>
        <v>0</v>
      </c>
      <c r="I295" s="1" t="str">
        <f t="shared" si="14"/>
        <v/>
      </c>
    </row>
    <row r="296" spans="6:9" x14ac:dyDescent="0.3">
      <c r="F296" s="1"/>
      <c r="G296" s="1" t="str">
        <f t="shared" si="13"/>
        <v/>
      </c>
      <c r="H296" s="12">
        <f>IFERROR(E296*_xlfn.XLOOKUP(D296,Stok_Baju!B:B,Stok_Baju!D:D),0)</f>
        <v>0</v>
      </c>
      <c r="I296" s="1" t="str">
        <f t="shared" si="14"/>
        <v/>
      </c>
    </row>
    <row r="297" spans="6:9" x14ac:dyDescent="0.3">
      <c r="F297" s="1"/>
      <c r="G297" s="1" t="str">
        <f t="shared" si="13"/>
        <v/>
      </c>
      <c r="H297" s="12">
        <f>IFERROR(E297*_xlfn.XLOOKUP(D297,Stok_Baju!B:B,Stok_Baju!D:D),0)</f>
        <v>0</v>
      </c>
      <c r="I297" s="1" t="str">
        <f t="shared" si="14"/>
        <v/>
      </c>
    </row>
    <row r="298" spans="6:9" x14ac:dyDescent="0.3">
      <c r="F298" s="1"/>
      <c r="G298" s="1" t="str">
        <f t="shared" si="13"/>
        <v/>
      </c>
      <c r="H298" s="12">
        <f>IFERROR(E298*_xlfn.XLOOKUP(D298,Stok_Baju!B:B,Stok_Baju!D:D),0)</f>
        <v>0</v>
      </c>
      <c r="I298" s="1" t="str">
        <f t="shared" si="14"/>
        <v/>
      </c>
    </row>
    <row r="299" spans="6:9" x14ac:dyDescent="0.3">
      <c r="F299" s="1"/>
      <c r="G299" s="1" t="str">
        <f t="shared" si="13"/>
        <v/>
      </c>
      <c r="H299" s="12">
        <f>IFERROR(E299*_xlfn.XLOOKUP(D299,Stok_Baju!B:B,Stok_Baju!D:D),0)</f>
        <v>0</v>
      </c>
      <c r="I299" s="1" t="str">
        <f t="shared" si="14"/>
        <v/>
      </c>
    </row>
    <row r="300" spans="6:9" x14ac:dyDescent="0.3">
      <c r="F300" s="1"/>
      <c r="G300" s="1" t="str">
        <f t="shared" si="13"/>
        <v/>
      </c>
      <c r="H300" s="12">
        <f>IFERROR(E300*_xlfn.XLOOKUP(D300,Stok_Baju!B:B,Stok_Baju!D:D),0)</f>
        <v>0</v>
      </c>
      <c r="I300" s="1" t="str">
        <f t="shared" si="14"/>
        <v/>
      </c>
    </row>
    <row r="301" spans="6:9" x14ac:dyDescent="0.3">
      <c r="F301" s="1"/>
      <c r="G301" s="1" t="str">
        <f t="shared" si="13"/>
        <v/>
      </c>
      <c r="H301" s="12">
        <f>IFERROR(E301*_xlfn.XLOOKUP(D301,Stok_Baju!B:B,Stok_Baju!D:D),0)</f>
        <v>0</v>
      </c>
      <c r="I301" s="1" t="str">
        <f t="shared" si="14"/>
        <v/>
      </c>
    </row>
    <row r="302" spans="6:9" x14ac:dyDescent="0.3">
      <c r="F302" s="1"/>
      <c r="G302" s="1" t="str">
        <f t="shared" si="13"/>
        <v/>
      </c>
      <c r="H302" s="12">
        <f>IFERROR(E302*_xlfn.XLOOKUP(D302,Stok_Baju!B:B,Stok_Baju!D:D),0)</f>
        <v>0</v>
      </c>
      <c r="I302" s="1" t="str">
        <f t="shared" si="14"/>
        <v/>
      </c>
    </row>
    <row r="303" spans="6:9" x14ac:dyDescent="0.3">
      <c r="F303" s="1"/>
      <c r="G303" s="1" t="str">
        <f t="shared" si="13"/>
        <v/>
      </c>
      <c r="H303" s="12">
        <f>IFERROR(E303*_xlfn.XLOOKUP(D303,Stok_Baju!B:B,Stok_Baju!D:D),0)</f>
        <v>0</v>
      </c>
      <c r="I303" s="1" t="str">
        <f t="shared" si="14"/>
        <v/>
      </c>
    </row>
    <row r="304" spans="6:9" x14ac:dyDescent="0.3">
      <c r="F304" s="1"/>
      <c r="G304" s="1" t="str">
        <f t="shared" si="13"/>
        <v/>
      </c>
      <c r="H304" s="12">
        <f>IFERROR(E304*_xlfn.XLOOKUP(D304,Stok_Baju!B:B,Stok_Baju!D:D),0)</f>
        <v>0</v>
      </c>
      <c r="I304" s="1" t="str">
        <f t="shared" si="14"/>
        <v/>
      </c>
    </row>
    <row r="305" spans="6:9" x14ac:dyDescent="0.3">
      <c r="F305" s="1"/>
      <c r="G305" s="1" t="str">
        <f t="shared" si="13"/>
        <v/>
      </c>
      <c r="H305" s="12">
        <f>IFERROR(E305*_xlfn.XLOOKUP(D305,Stok_Baju!B:B,Stok_Baju!D:D),0)</f>
        <v>0</v>
      </c>
      <c r="I305" s="1" t="str">
        <f t="shared" si="14"/>
        <v/>
      </c>
    </row>
    <row r="306" spans="6:9" x14ac:dyDescent="0.3">
      <c r="F306" s="1"/>
      <c r="G306" s="1" t="str">
        <f t="shared" si="13"/>
        <v/>
      </c>
      <c r="H306" s="12">
        <f>IFERROR(E306*_xlfn.XLOOKUP(D306,Stok_Baju!B:B,Stok_Baju!D:D),0)</f>
        <v>0</v>
      </c>
      <c r="I306" s="1" t="str">
        <f t="shared" si="14"/>
        <v/>
      </c>
    </row>
    <row r="307" spans="6:9" x14ac:dyDescent="0.3">
      <c r="F307" s="1"/>
      <c r="G307" s="1" t="str">
        <f t="shared" ref="G307:G338" si="15">IF(OR(E307="",F307=""),"",E307*F307)</f>
        <v/>
      </c>
      <c r="H307" s="12">
        <f>IFERROR(E307*_xlfn.XLOOKUP(D307,Stok_Baju!B:B,Stok_Baju!D:D),0)</f>
        <v>0</v>
      </c>
      <c r="I307" s="1" t="str">
        <f t="shared" ref="I307:I338" si="16">IF(G307="","",G307-H307)</f>
        <v/>
      </c>
    </row>
    <row r="308" spans="6:9" x14ac:dyDescent="0.3">
      <c r="F308" s="1"/>
      <c r="G308" s="1" t="str">
        <f t="shared" si="15"/>
        <v/>
      </c>
      <c r="H308" s="12">
        <f>IFERROR(E308*_xlfn.XLOOKUP(D308,Stok_Baju!B:B,Stok_Baju!D:D),0)</f>
        <v>0</v>
      </c>
      <c r="I308" s="1" t="str">
        <f t="shared" si="16"/>
        <v/>
      </c>
    </row>
    <row r="309" spans="6:9" x14ac:dyDescent="0.3">
      <c r="F309" s="1"/>
      <c r="G309" s="1" t="str">
        <f t="shared" si="15"/>
        <v/>
      </c>
      <c r="H309" s="12">
        <f>IFERROR(E309*_xlfn.XLOOKUP(D309,Stok_Baju!B:B,Stok_Baju!D:D),0)</f>
        <v>0</v>
      </c>
      <c r="I309" s="1" t="str">
        <f t="shared" si="16"/>
        <v/>
      </c>
    </row>
    <row r="310" spans="6:9" x14ac:dyDescent="0.3">
      <c r="F310" s="1"/>
      <c r="G310" s="1" t="str">
        <f t="shared" si="15"/>
        <v/>
      </c>
      <c r="H310" s="12">
        <f>IFERROR(E310*_xlfn.XLOOKUP(D310,Stok_Baju!B:B,Stok_Baju!D:D),0)</f>
        <v>0</v>
      </c>
      <c r="I310" s="1" t="str">
        <f t="shared" si="16"/>
        <v/>
      </c>
    </row>
    <row r="311" spans="6:9" x14ac:dyDescent="0.3">
      <c r="F311" s="1"/>
      <c r="G311" s="1" t="str">
        <f t="shared" si="15"/>
        <v/>
      </c>
      <c r="H311" s="12">
        <f>IFERROR(E311*_xlfn.XLOOKUP(D311,Stok_Baju!B:B,Stok_Baju!D:D),0)</f>
        <v>0</v>
      </c>
      <c r="I311" s="1" t="str">
        <f t="shared" si="16"/>
        <v/>
      </c>
    </row>
    <row r="312" spans="6:9" x14ac:dyDescent="0.3">
      <c r="F312" s="1"/>
      <c r="G312" s="1" t="str">
        <f t="shared" si="15"/>
        <v/>
      </c>
      <c r="H312" s="12">
        <f>IFERROR(E312*_xlfn.XLOOKUP(D312,Stok_Baju!B:B,Stok_Baju!D:D),0)</f>
        <v>0</v>
      </c>
      <c r="I312" s="1" t="str">
        <f t="shared" si="16"/>
        <v/>
      </c>
    </row>
    <row r="313" spans="6:9" x14ac:dyDescent="0.3">
      <c r="F313" s="1"/>
      <c r="G313" s="1" t="str">
        <f t="shared" si="15"/>
        <v/>
      </c>
      <c r="H313" s="12">
        <f>IFERROR(E313*_xlfn.XLOOKUP(D313,Stok_Baju!B:B,Stok_Baju!D:D),0)</f>
        <v>0</v>
      </c>
      <c r="I313" s="1" t="str">
        <f t="shared" si="16"/>
        <v/>
      </c>
    </row>
    <row r="314" spans="6:9" x14ac:dyDescent="0.3">
      <c r="F314" s="1"/>
      <c r="G314" s="1" t="str">
        <f t="shared" si="15"/>
        <v/>
      </c>
      <c r="H314" s="12">
        <f>IFERROR(E314*_xlfn.XLOOKUP(D314,Stok_Baju!B:B,Stok_Baju!D:D),0)</f>
        <v>0</v>
      </c>
      <c r="I314" s="1" t="str">
        <f t="shared" si="16"/>
        <v/>
      </c>
    </row>
    <row r="315" spans="6:9" x14ac:dyDescent="0.3">
      <c r="F315" s="1"/>
      <c r="G315" s="1" t="str">
        <f t="shared" si="15"/>
        <v/>
      </c>
      <c r="H315" s="12">
        <f>IFERROR(E315*_xlfn.XLOOKUP(D315,Stok_Baju!B:B,Stok_Baju!D:D),0)</f>
        <v>0</v>
      </c>
      <c r="I315" s="1" t="str">
        <f t="shared" si="16"/>
        <v/>
      </c>
    </row>
    <row r="316" spans="6:9" x14ac:dyDescent="0.3">
      <c r="F316" s="1"/>
      <c r="G316" s="1" t="str">
        <f t="shared" si="15"/>
        <v/>
      </c>
      <c r="H316" s="12">
        <f>IFERROR(E316*_xlfn.XLOOKUP(D316,Stok_Baju!B:B,Stok_Baju!D:D),0)</f>
        <v>0</v>
      </c>
      <c r="I316" s="1" t="str">
        <f t="shared" si="16"/>
        <v/>
      </c>
    </row>
    <row r="317" spans="6:9" x14ac:dyDescent="0.3">
      <c r="F317" s="1"/>
      <c r="G317" s="1" t="str">
        <f t="shared" si="15"/>
        <v/>
      </c>
      <c r="H317" s="12">
        <f>IFERROR(E317*_xlfn.XLOOKUP(D317,Stok_Baju!B:B,Stok_Baju!D:D),0)</f>
        <v>0</v>
      </c>
      <c r="I317" s="1" t="str">
        <f t="shared" si="16"/>
        <v/>
      </c>
    </row>
    <row r="318" spans="6:9" x14ac:dyDescent="0.3">
      <c r="F318" s="1"/>
      <c r="G318" s="1" t="str">
        <f t="shared" si="15"/>
        <v/>
      </c>
      <c r="H318" s="12">
        <f>IFERROR(E318*_xlfn.XLOOKUP(D318,Stok_Baju!B:B,Stok_Baju!D:D),0)</f>
        <v>0</v>
      </c>
      <c r="I318" s="1" t="str">
        <f t="shared" si="16"/>
        <v/>
      </c>
    </row>
    <row r="319" spans="6:9" x14ac:dyDescent="0.3">
      <c r="F319" s="1"/>
      <c r="G319" s="1" t="str">
        <f t="shared" si="15"/>
        <v/>
      </c>
      <c r="H319" s="12">
        <f>IFERROR(E319*_xlfn.XLOOKUP(D319,Stok_Baju!B:B,Stok_Baju!D:D),0)</f>
        <v>0</v>
      </c>
      <c r="I319" s="1" t="str">
        <f t="shared" si="16"/>
        <v/>
      </c>
    </row>
    <row r="320" spans="6:9" x14ac:dyDescent="0.3">
      <c r="F320" s="1"/>
      <c r="G320" s="1" t="str">
        <f t="shared" si="15"/>
        <v/>
      </c>
      <c r="H320" s="12">
        <f>IFERROR(E320*_xlfn.XLOOKUP(D320,Stok_Baju!B:B,Stok_Baju!D:D),0)</f>
        <v>0</v>
      </c>
      <c r="I320" s="1" t="str">
        <f t="shared" si="16"/>
        <v/>
      </c>
    </row>
    <row r="321" spans="6:9" x14ac:dyDescent="0.3">
      <c r="F321" s="1"/>
      <c r="G321" s="1" t="str">
        <f t="shared" si="15"/>
        <v/>
      </c>
      <c r="H321" s="12">
        <f>IFERROR(E321*_xlfn.XLOOKUP(D321,Stok_Baju!B:B,Stok_Baju!D:D),0)</f>
        <v>0</v>
      </c>
      <c r="I321" s="1" t="str">
        <f t="shared" si="16"/>
        <v/>
      </c>
    </row>
    <row r="322" spans="6:9" x14ac:dyDescent="0.3">
      <c r="F322" s="1"/>
      <c r="G322" s="1" t="str">
        <f t="shared" si="15"/>
        <v/>
      </c>
      <c r="H322" s="12">
        <f>IFERROR(E322*_xlfn.XLOOKUP(D322,Stok_Baju!B:B,Stok_Baju!D:D),0)</f>
        <v>0</v>
      </c>
      <c r="I322" s="1" t="str">
        <f t="shared" si="16"/>
        <v/>
      </c>
    </row>
    <row r="323" spans="6:9" x14ac:dyDescent="0.3">
      <c r="F323" s="1"/>
      <c r="G323" s="1" t="str">
        <f t="shared" si="15"/>
        <v/>
      </c>
      <c r="H323" s="12">
        <f>IFERROR(E323*_xlfn.XLOOKUP(D323,Stok_Baju!B:B,Stok_Baju!D:D),0)</f>
        <v>0</v>
      </c>
      <c r="I323" s="1" t="str">
        <f t="shared" si="16"/>
        <v/>
      </c>
    </row>
    <row r="324" spans="6:9" x14ac:dyDescent="0.3">
      <c r="F324" s="1"/>
      <c r="G324" s="1" t="str">
        <f t="shared" si="15"/>
        <v/>
      </c>
      <c r="H324" s="12">
        <f>IFERROR(E324*_xlfn.XLOOKUP(D324,Stok_Baju!B:B,Stok_Baju!D:D),0)</f>
        <v>0</v>
      </c>
      <c r="I324" s="1" t="str">
        <f t="shared" si="16"/>
        <v/>
      </c>
    </row>
    <row r="325" spans="6:9" x14ac:dyDescent="0.3">
      <c r="F325" s="1"/>
      <c r="G325" s="1" t="str">
        <f t="shared" si="15"/>
        <v/>
      </c>
      <c r="H325" s="12">
        <f>IFERROR(E325*_xlfn.XLOOKUP(D325,Stok_Baju!B:B,Stok_Baju!D:D),0)</f>
        <v>0</v>
      </c>
      <c r="I325" s="1" t="str">
        <f t="shared" si="16"/>
        <v/>
      </c>
    </row>
    <row r="326" spans="6:9" x14ac:dyDescent="0.3">
      <c r="F326" s="1"/>
      <c r="G326" s="1" t="str">
        <f t="shared" si="15"/>
        <v/>
      </c>
      <c r="H326" s="12">
        <f>IFERROR(E326*_xlfn.XLOOKUP(D326,Stok_Baju!B:B,Stok_Baju!D:D),0)</f>
        <v>0</v>
      </c>
      <c r="I326" s="1" t="str">
        <f t="shared" si="16"/>
        <v/>
      </c>
    </row>
    <row r="327" spans="6:9" x14ac:dyDescent="0.3">
      <c r="F327" s="1"/>
      <c r="G327" s="1" t="str">
        <f t="shared" si="15"/>
        <v/>
      </c>
      <c r="H327" s="12">
        <f>IFERROR(E327*_xlfn.XLOOKUP(D327,Stok_Baju!B:B,Stok_Baju!D:D),0)</f>
        <v>0</v>
      </c>
      <c r="I327" s="1" t="str">
        <f t="shared" si="16"/>
        <v/>
      </c>
    </row>
    <row r="328" spans="6:9" x14ac:dyDescent="0.3">
      <c r="F328" s="1"/>
      <c r="G328" s="1" t="str">
        <f t="shared" si="15"/>
        <v/>
      </c>
      <c r="H328" s="12">
        <f>IFERROR(E328*_xlfn.XLOOKUP(D328,Stok_Baju!B:B,Stok_Baju!D:D),0)</f>
        <v>0</v>
      </c>
      <c r="I328" s="1" t="str">
        <f t="shared" si="16"/>
        <v/>
      </c>
    </row>
    <row r="329" spans="6:9" x14ac:dyDescent="0.3">
      <c r="F329" s="1"/>
      <c r="G329" s="1" t="str">
        <f t="shared" si="15"/>
        <v/>
      </c>
      <c r="H329" s="12">
        <f>IFERROR(E329*_xlfn.XLOOKUP(D329,Stok_Baju!B:B,Stok_Baju!D:D),0)</f>
        <v>0</v>
      </c>
      <c r="I329" s="1" t="str">
        <f t="shared" si="16"/>
        <v/>
      </c>
    </row>
    <row r="330" spans="6:9" x14ac:dyDescent="0.3">
      <c r="F330" s="1"/>
      <c r="G330" s="1" t="str">
        <f t="shared" si="15"/>
        <v/>
      </c>
      <c r="H330" s="12">
        <f>IFERROR(E330*_xlfn.XLOOKUP(D330,Stok_Baju!B:B,Stok_Baju!D:D),0)</f>
        <v>0</v>
      </c>
      <c r="I330" s="1" t="str">
        <f t="shared" si="16"/>
        <v/>
      </c>
    </row>
    <row r="331" spans="6:9" x14ac:dyDescent="0.3">
      <c r="F331" s="1"/>
      <c r="G331" s="1" t="str">
        <f t="shared" si="15"/>
        <v/>
      </c>
      <c r="H331" s="12">
        <f>IFERROR(E331*_xlfn.XLOOKUP(D331,Stok_Baju!B:B,Stok_Baju!D:D),0)</f>
        <v>0</v>
      </c>
      <c r="I331" s="1" t="str">
        <f t="shared" si="16"/>
        <v/>
      </c>
    </row>
    <row r="332" spans="6:9" x14ac:dyDescent="0.3">
      <c r="F332" s="1"/>
      <c r="G332" s="1" t="str">
        <f t="shared" si="15"/>
        <v/>
      </c>
      <c r="H332" s="12">
        <f>IFERROR(E332*_xlfn.XLOOKUP(D332,Stok_Baju!B:B,Stok_Baju!D:D),0)</f>
        <v>0</v>
      </c>
      <c r="I332" s="1" t="str">
        <f t="shared" si="16"/>
        <v/>
      </c>
    </row>
    <row r="333" spans="6:9" x14ac:dyDescent="0.3">
      <c r="F333" s="1"/>
      <c r="G333" s="1" t="str">
        <f t="shared" si="15"/>
        <v/>
      </c>
      <c r="H333" s="12">
        <f>IFERROR(E333*_xlfn.XLOOKUP(D333,Stok_Baju!B:B,Stok_Baju!D:D),0)</f>
        <v>0</v>
      </c>
      <c r="I333" s="1" t="str">
        <f t="shared" si="16"/>
        <v/>
      </c>
    </row>
    <row r="334" spans="6:9" x14ac:dyDescent="0.3">
      <c r="F334" s="1"/>
      <c r="G334" s="1" t="str">
        <f t="shared" si="15"/>
        <v/>
      </c>
      <c r="H334" s="12">
        <f>IFERROR(E334*_xlfn.XLOOKUP(D334,Stok_Baju!B:B,Stok_Baju!D:D),0)</f>
        <v>0</v>
      </c>
      <c r="I334" s="1" t="str">
        <f t="shared" si="16"/>
        <v/>
      </c>
    </row>
    <row r="335" spans="6:9" x14ac:dyDescent="0.3">
      <c r="F335" s="1"/>
      <c r="G335" s="1" t="str">
        <f t="shared" si="15"/>
        <v/>
      </c>
      <c r="H335" s="12">
        <f>IFERROR(E335*_xlfn.XLOOKUP(D335,Stok_Baju!B:B,Stok_Baju!D:D),0)</f>
        <v>0</v>
      </c>
      <c r="I335" s="1" t="str">
        <f t="shared" si="16"/>
        <v/>
      </c>
    </row>
    <row r="336" spans="6:9" x14ac:dyDescent="0.3">
      <c r="F336" s="1"/>
      <c r="G336" s="1" t="str">
        <f t="shared" si="15"/>
        <v/>
      </c>
      <c r="H336" s="12">
        <f>IFERROR(E336*_xlfn.XLOOKUP(D336,Stok_Baju!B:B,Stok_Baju!D:D),0)</f>
        <v>0</v>
      </c>
      <c r="I336" s="1" t="str">
        <f t="shared" si="16"/>
        <v/>
      </c>
    </row>
    <row r="337" spans="6:9" x14ac:dyDescent="0.3">
      <c r="F337" s="1"/>
      <c r="G337" s="1" t="str">
        <f t="shared" si="15"/>
        <v/>
      </c>
      <c r="H337" s="12">
        <f>IFERROR(E337*_xlfn.XLOOKUP(D337,Stok_Baju!B:B,Stok_Baju!D:D),0)</f>
        <v>0</v>
      </c>
      <c r="I337" s="1" t="str">
        <f t="shared" si="16"/>
        <v/>
      </c>
    </row>
    <row r="338" spans="6:9" x14ac:dyDescent="0.3">
      <c r="F338" s="1"/>
      <c r="G338" s="1" t="str">
        <f t="shared" si="15"/>
        <v/>
      </c>
      <c r="H338" s="12">
        <f>IFERROR(E338*_xlfn.XLOOKUP(D338,Stok_Baju!B:B,Stok_Baju!D:D),0)</f>
        <v>0</v>
      </c>
      <c r="I338" s="1" t="str">
        <f t="shared" si="16"/>
        <v/>
      </c>
    </row>
  </sheetData>
  <phoneticPr fontId="5" type="noConversion"/>
  <conditionalFormatting sqref="I2:I97">
    <cfRule type="cellIs" dxfId="1" priority="1" operator="lessThanOrEqual">
      <formula>10000</formula>
    </cfRule>
    <cfRule type="cellIs" dxfId="0" priority="2" operator="greaterThan">
      <formula>10000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4"/>
  <sheetViews>
    <sheetView workbookViewId="0">
      <pane ySplit="1" topLeftCell="A2" activePane="bottomLeft" state="frozen"/>
      <selection pane="bottomLeft" activeCell="I3" sqref="I3"/>
    </sheetView>
  </sheetViews>
  <sheetFormatPr defaultRowHeight="14.4" x14ac:dyDescent="0.3"/>
  <cols>
    <col min="1" max="1" width="11" bestFit="1" customWidth="1"/>
    <col min="2" max="2" width="5.21875" bestFit="1" customWidth="1"/>
    <col min="3" max="3" width="11.44140625" customWidth="1"/>
    <col min="4" max="4" width="12.21875" bestFit="1" customWidth="1"/>
    <col min="5" max="5" width="13.109375" bestFit="1" customWidth="1"/>
    <col min="6" max="6" width="12.5546875" bestFit="1" customWidth="1"/>
    <col min="7" max="9" width="14" customWidth="1"/>
    <col min="10" max="10" width="12.5546875" bestFit="1" customWidth="1"/>
    <col min="11" max="11" width="11.109375" customWidth="1"/>
    <col min="12" max="12" width="9" bestFit="1" customWidth="1"/>
    <col min="13" max="13" width="8.5546875" customWidth="1"/>
    <col min="14" max="14" width="12.5546875" bestFit="1" customWidth="1"/>
    <col min="15" max="15" width="13.6640625" bestFit="1" customWidth="1"/>
    <col min="16" max="16" width="12.44140625" customWidth="1"/>
  </cols>
  <sheetData>
    <row r="1" spans="1:16" x14ac:dyDescent="0.3">
      <c r="A1" s="4" t="s">
        <v>65</v>
      </c>
      <c r="B1" s="2" t="s">
        <v>0</v>
      </c>
      <c r="C1" s="2" t="s">
        <v>66</v>
      </c>
      <c r="D1" s="2" t="s">
        <v>67</v>
      </c>
      <c r="E1" s="2" t="s">
        <v>59</v>
      </c>
      <c r="F1" s="2" t="s">
        <v>68</v>
      </c>
      <c r="G1" s="2" t="s">
        <v>57</v>
      </c>
      <c r="H1" s="2" t="s">
        <v>69</v>
      </c>
      <c r="I1" s="2" t="s">
        <v>70</v>
      </c>
      <c r="J1" s="2" t="s">
        <v>60</v>
      </c>
      <c r="K1" s="2" t="s">
        <v>71</v>
      </c>
      <c r="L1" s="2" t="s">
        <v>72</v>
      </c>
      <c r="M1" s="2" t="s">
        <v>40</v>
      </c>
      <c r="N1" s="2" t="s">
        <v>73</v>
      </c>
      <c r="O1" s="2" t="s">
        <v>63</v>
      </c>
      <c r="P1" s="2" t="s">
        <v>64</v>
      </c>
    </row>
    <row r="2" spans="1:16" x14ac:dyDescent="0.3">
      <c r="A2" s="5" t="s">
        <v>43</v>
      </c>
      <c r="B2" t="s">
        <v>8</v>
      </c>
      <c r="C2" s="1">
        <f>belanja!H3</f>
        <v>260000</v>
      </c>
      <c r="D2" s="1">
        <f>C2/12</f>
        <v>21666.666666666668</v>
      </c>
      <c r="E2" s="3">
        <f>belanja!E3*12</f>
        <v>24</v>
      </c>
      <c r="F2" s="3">
        <v>34</v>
      </c>
      <c r="G2" s="3">
        <f>Table3[[#This Row],[Column10]]-Table3[[#This Row],[Column19]]</f>
        <v>7</v>
      </c>
      <c r="H2" s="3">
        <v>46</v>
      </c>
      <c r="I2" s="3">
        <f>6+12</f>
        <v>18</v>
      </c>
      <c r="J2" s="3">
        <f>Table3[[#This Row],[Column6]]+Table3[[#This Row],[Column5]]-Table3[[#This Row],[Column13]]</f>
        <v>27</v>
      </c>
      <c r="K2" s="3">
        <f>IF($B2="","",SUMIF(Transaksi!$D:$D,$B2,Transaksi!$E:$E)+IF($B2="das",SUMIFS(Transaksi!$E:$E,Transaksi!$B:$B,"Daster",Transaksi!$D:$D,""),0)+IF($B2="x7",SUMIFS(Transaksi!$E:$E,Transaksi!$B:$B,"Xseven",Transaksi!$D:$D,""),0))</f>
        <v>37</v>
      </c>
      <c r="L2" s="3">
        <f>Table3[[#This Row],[Column11]]+Table3[[#This Row],[Column19]]</f>
        <v>34</v>
      </c>
      <c r="M2" t="s">
        <v>41</v>
      </c>
      <c r="N2" s="1">
        <f>SUMIFS(Transaksi!H:H,Transaksi!$A:$A,"&gt;="&amp;DATE(2026,4,1),Transaksi!$A:$A,"&lt;"&amp;DATE(2026,5,1))</f>
        <v>5353750</v>
      </c>
      <c r="O2" s="1">
        <f>SUMIFS(Transaksi!G:G,Transaksi!$A:$A,"&gt;="&amp;DATE(2026,4,1),Transaksi!$A:$A,"&lt;"&amp;DATE(2026,5,1))</f>
        <v>10580000</v>
      </c>
      <c r="P2" s="1">
        <f>SUMIFS(Transaksi!I:I,Transaksi!$A:$A,"&gt;="&amp;DATE(2026,4,1),Transaksi!$A:$A,"&lt;"&amp;DATE(2026,5,1))</f>
        <v>5226250</v>
      </c>
    </row>
    <row r="3" spans="1:16" x14ac:dyDescent="0.3">
      <c r="A3" s="5" t="s">
        <v>44</v>
      </c>
      <c r="B3" t="s">
        <v>10</v>
      </c>
      <c r="C3" s="1">
        <f>belanja!H4</f>
        <v>275000</v>
      </c>
      <c r="D3" s="1">
        <f t="shared" ref="D3:D15" si="0">C3/12</f>
        <v>22916.666666666668</v>
      </c>
      <c r="E3" s="3">
        <f>belanja!E4*12</f>
        <v>24</v>
      </c>
      <c r="F3" s="3">
        <v>37</v>
      </c>
      <c r="G3" s="3">
        <f>Table3[[#This Row],[Column10]]-Table3[[#This Row],[Column19]]</f>
        <v>10</v>
      </c>
      <c r="H3" s="3">
        <v>49</v>
      </c>
      <c r="I3" s="3">
        <f>12+2+2</f>
        <v>16</v>
      </c>
      <c r="J3" s="3">
        <f>Table3[[#This Row],[Column6]]+Table3[[#This Row],[Column5]]-Table3[[#This Row],[Column13]]</f>
        <v>27</v>
      </c>
      <c r="K3" s="3">
        <f>IF($B3="","",SUMIF(Transaksi!$D:$D,$B3,Transaksi!$E:$E)+IF($B3="das",SUMIFS(Transaksi!$E:$E,Transaksi!$B:$B,"Daster",Transaksi!$D:$D,""),0)+IF($B3="x7",SUMIFS(Transaksi!$E:$E,Transaksi!$B:$B,"Xseven",Transaksi!$D:$D,""),0))</f>
        <v>38</v>
      </c>
      <c r="L3" s="3">
        <f>Table3[[#This Row],[Column11]]+Table3[[#This Row],[Column19]]</f>
        <v>37</v>
      </c>
      <c r="M3" t="s">
        <v>42</v>
      </c>
      <c r="N3" s="1">
        <f>SUMIFS(Transaksi!H:H,Transaksi!$A:$A,"&gt;="&amp;DATE(2026,5,1),Transaksi!$A:$A,"&lt;"&amp;DATE(2026,6,1))</f>
        <v>1567916.6666666672</v>
      </c>
      <c r="O3" s="1">
        <f>SUMIFS(Transaksi!G:G,Transaksi!$A:$A,"&gt;="&amp;DATE(2026,5,1),Transaksi!$A:$A,"&lt;"&amp;DATE(2026,6,1))</f>
        <v>3215000</v>
      </c>
      <c r="P3" s="1">
        <f>SUMIFS(Transaksi!I:I,Transaksi!$A:$A,"&gt;="&amp;DATE(2026,5,1),Transaksi!$A:$A,"&lt;"&amp;DATE(2026,6,1))</f>
        <v>1647083.3333333328</v>
      </c>
    </row>
    <row r="4" spans="1:16" x14ac:dyDescent="0.3">
      <c r="A4" s="5" t="s">
        <v>45</v>
      </c>
      <c r="B4" t="s">
        <v>14</v>
      </c>
      <c r="C4" s="1">
        <f>belanja!H5</f>
        <v>285000</v>
      </c>
      <c r="D4" s="1">
        <f t="shared" si="0"/>
        <v>23750</v>
      </c>
      <c r="E4" s="3">
        <f>belanja!E5*12</f>
        <v>24</v>
      </c>
      <c r="F4" s="3">
        <v>40</v>
      </c>
      <c r="G4" s="3">
        <f>Table3[[#This Row],[Column10]]-Table3[[#This Row],[Column19]]</f>
        <v>13</v>
      </c>
      <c r="H4" s="3">
        <v>62</v>
      </c>
      <c r="I4" s="3">
        <f>9+6</f>
        <v>15</v>
      </c>
      <c r="J4" s="3">
        <f>Table3[[#This Row],[Column6]]+Table3[[#This Row],[Column5]]-Table3[[#This Row],[Column13]]</f>
        <v>27</v>
      </c>
      <c r="K4" s="3">
        <f>IF($B4="","",SUMIF(Transaksi!$D:$D,$B4,Transaksi!$E:$E)+IF($B4="das",SUMIFS(Transaksi!$E:$E,Transaksi!$B:$B,"Daster",Transaksi!$D:$D,""),0)+IF($B4="x7",SUMIFS(Transaksi!$E:$E,Transaksi!$B:$B,"Xseven",Transaksi!$D:$D,""),0))</f>
        <v>50</v>
      </c>
      <c r="L4" s="3">
        <f>Table3[[#This Row],[Column11]]+Table3[[#This Row],[Column19]]</f>
        <v>40</v>
      </c>
    </row>
    <row r="5" spans="1:16" x14ac:dyDescent="0.3">
      <c r="A5" s="5" t="s">
        <v>46</v>
      </c>
      <c r="B5" t="s">
        <v>17</v>
      </c>
      <c r="C5" s="1">
        <f>belanja!H6</f>
        <v>305000</v>
      </c>
      <c r="D5" s="1">
        <f t="shared" si="0"/>
        <v>25416.666666666668</v>
      </c>
      <c r="E5" s="3">
        <f>belanja!E6*12</f>
        <v>24</v>
      </c>
      <c r="F5" s="3">
        <v>26</v>
      </c>
      <c r="G5" s="3">
        <f>Table3[[#This Row],[Column10]]-Table3[[#This Row],[Column19]]</f>
        <v>0</v>
      </c>
      <c r="H5" s="3">
        <f>34+24</f>
        <v>58</v>
      </c>
      <c r="I5" s="3">
        <f>6+6</f>
        <v>12</v>
      </c>
      <c r="J5" s="3">
        <f>Table3[[#This Row],[Column6]]+Table3[[#This Row],[Column5]]-Table3[[#This Row],[Column13]]</f>
        <v>26</v>
      </c>
      <c r="K5" s="3">
        <f>IF($B5="","",SUMIF(Transaksi!$D:$D,$B5,Transaksi!$E:$E)+IF($B5="das",SUMIFS(Transaksi!$E:$E,Transaksi!$B:$B,"Daster",Transaksi!$D:$D,""),0)+IF($B5="x7",SUMIFS(Transaksi!$E:$E,Transaksi!$B:$B,"Xseven",Transaksi!$D:$D,""),0))</f>
        <v>44</v>
      </c>
      <c r="L5" s="3">
        <f>Table3[[#This Row],[Column11]]+Table3[[#This Row],[Column19]]</f>
        <v>26</v>
      </c>
    </row>
    <row r="6" spans="1:16" x14ac:dyDescent="0.3">
      <c r="A6" s="5" t="s">
        <v>47</v>
      </c>
      <c r="B6" t="s">
        <v>19</v>
      </c>
      <c r="C6" s="1">
        <f>belanja!H7</f>
        <v>205000</v>
      </c>
      <c r="D6" s="1">
        <f t="shared" si="0"/>
        <v>17083.333333333332</v>
      </c>
      <c r="E6" s="3">
        <f>belanja!E7*12</f>
        <v>0</v>
      </c>
      <c r="F6" s="3">
        <v>32</v>
      </c>
      <c r="G6" s="3">
        <f>Table3[[#This Row],[Column10]]-Table3[[#This Row],[Column19]]</f>
        <v>0</v>
      </c>
      <c r="H6" s="3">
        <f>14+32</f>
        <v>46</v>
      </c>
      <c r="I6" s="3"/>
      <c r="J6" s="3">
        <f>Table3[[#This Row],[Column6]]+Table3[[#This Row],[Column5]]-Table3[[#This Row],[Column13]]</f>
        <v>32</v>
      </c>
      <c r="K6" s="3">
        <f>IF($B6="","",SUMIF(Transaksi!$D:$D,$B6,Transaksi!$E:$E)+IF($B6="das",SUMIFS(Transaksi!$E:$E,Transaksi!$B:$B,"Daster",Transaksi!$D:$D,""),0)+IF($B6="x7",SUMIFS(Transaksi!$E:$E,Transaksi!$B:$B,"Xseven",Transaksi!$D:$D,""),0))</f>
        <v>14</v>
      </c>
      <c r="L6" s="3">
        <f>Table3[[#This Row],[Column11]]+Table3[[#This Row],[Column19]]</f>
        <v>32</v>
      </c>
    </row>
    <row r="7" spans="1:16" x14ac:dyDescent="0.3">
      <c r="A7" s="5" t="s">
        <v>48</v>
      </c>
      <c r="B7" t="s">
        <v>22</v>
      </c>
      <c r="C7" s="1">
        <f>belanja!H8</f>
        <v>220000</v>
      </c>
      <c r="D7" s="1">
        <f t="shared" si="0"/>
        <v>18333.333333333332</v>
      </c>
      <c r="E7" s="3">
        <f>belanja!E8*12</f>
        <v>12</v>
      </c>
      <c r="F7" s="3">
        <v>41</v>
      </c>
      <c r="G7" s="3">
        <f>Table3[[#This Row],[Column10]]-Table3[[#This Row],[Column19]]</f>
        <v>13</v>
      </c>
      <c r="H7" s="3">
        <f>20+29</f>
        <v>49</v>
      </c>
      <c r="I7" s="3"/>
      <c r="J7" s="3">
        <f>Table3[[#This Row],[Column6]]+Table3[[#This Row],[Column5]]-Table3[[#This Row],[Column13]]</f>
        <v>28</v>
      </c>
      <c r="K7" s="3">
        <f>IF($B7="","",SUMIF(Transaksi!$D:$D,$B7,Transaksi!$E:$E)+IF($B7="das",SUMIFS(Transaksi!$E:$E,Transaksi!$B:$B,"Daster",Transaksi!$D:$D,""),0)+IF($B7="x7",SUMIFS(Transaksi!$E:$E,Transaksi!$B:$B,"Xseven",Transaksi!$D:$D,""),0))</f>
        <v>21</v>
      </c>
      <c r="L7" s="3">
        <f>Table3[[#This Row],[Column11]]+Table3[[#This Row],[Column19]]</f>
        <v>41</v>
      </c>
    </row>
    <row r="8" spans="1:16" x14ac:dyDescent="0.3">
      <c r="A8" s="5" t="s">
        <v>49</v>
      </c>
      <c r="B8" t="s">
        <v>23</v>
      </c>
      <c r="C8" s="1">
        <f>belanja!H9</f>
        <v>235000</v>
      </c>
      <c r="D8" s="1">
        <f t="shared" si="0"/>
        <v>19583.333333333332</v>
      </c>
      <c r="E8" s="3">
        <f>belanja!E9*12</f>
        <v>12</v>
      </c>
      <c r="F8" s="3">
        <v>43</v>
      </c>
      <c r="G8" s="3">
        <f>Table3[[#This Row],[Column10]]-Table3[[#This Row],[Column19]]</f>
        <v>12</v>
      </c>
      <c r="H8" s="3">
        <f>31+16</f>
        <v>47</v>
      </c>
      <c r="I8" s="3"/>
      <c r="J8" s="3">
        <f>Table3[[#This Row],[Column6]]+Table3[[#This Row],[Column5]]-Table3[[#This Row],[Column13]]</f>
        <v>31</v>
      </c>
      <c r="K8" s="3">
        <f>IF($B8="","",SUMIF(Transaksi!$D:$D,$B8,Transaksi!$E:$E)+IF($B8="das",SUMIFS(Transaksi!$E:$E,Transaksi!$B:$B,"Daster",Transaksi!$D:$D,""),0)+IF($B8="x7",SUMIFS(Transaksi!$E:$E,Transaksi!$B:$B,"Xseven",Transaksi!$D:$D,""),0))</f>
        <v>16</v>
      </c>
      <c r="L8" s="3">
        <f>Table3[[#This Row],[Column11]]+Table3[[#This Row],[Column19]]</f>
        <v>43</v>
      </c>
    </row>
    <row r="9" spans="1:16" x14ac:dyDescent="0.3">
      <c r="A9" s="5" t="s">
        <v>50</v>
      </c>
      <c r="B9" t="s">
        <v>7</v>
      </c>
      <c r="C9" s="1">
        <f>belanja!H10</f>
        <v>250000</v>
      </c>
      <c r="D9" s="1">
        <f t="shared" si="0"/>
        <v>20833.333333333332</v>
      </c>
      <c r="E9" s="3">
        <f>belanja!E10*12</f>
        <v>0</v>
      </c>
      <c r="F9" s="3">
        <v>41</v>
      </c>
      <c r="G9" s="3">
        <f>Table3[[#This Row],[Column10]]-Table3[[#This Row],[Column19]]</f>
        <v>12</v>
      </c>
      <c r="H9" s="3">
        <f>29+8</f>
        <v>37</v>
      </c>
      <c r="I9" s="3"/>
      <c r="J9" s="3">
        <f>Table3[[#This Row],[Column6]]+Table3[[#This Row],[Column5]]-Table3[[#This Row],[Column13]]</f>
        <v>29</v>
      </c>
      <c r="K9" s="3">
        <f>IF($B9="","",SUMIF(Transaksi!$D:$D,$B9,Transaksi!$E:$E)+IF($B9="das",SUMIFS(Transaksi!$E:$E,Transaksi!$B:$B,"Daster",Transaksi!$D:$D,""),0)+IF($B9="x7",SUMIFS(Transaksi!$E:$E,Transaksi!$B:$B,"Xseven",Transaksi!$D:$D,""),0))</f>
        <v>8</v>
      </c>
      <c r="L9" s="3">
        <f>Table3[[#This Row],[Column11]]+Table3[[#This Row],[Column19]]</f>
        <v>41</v>
      </c>
    </row>
    <row r="10" spans="1:16" x14ac:dyDescent="0.3">
      <c r="A10" s="5" t="s">
        <v>51</v>
      </c>
      <c r="B10" t="s">
        <v>24</v>
      </c>
      <c r="C10" s="1">
        <f>belanja!H11</f>
        <v>290000</v>
      </c>
      <c r="D10" s="1">
        <f t="shared" si="0"/>
        <v>24166.666666666668</v>
      </c>
      <c r="E10" s="3">
        <f>belanja!E11*12</f>
        <v>0</v>
      </c>
      <c r="F10" s="3">
        <v>38</v>
      </c>
      <c r="G10" s="3">
        <f>Table3[[#This Row],[Column10]]-Table3[[#This Row],[Column19]]</f>
        <v>8</v>
      </c>
      <c r="H10" s="3">
        <f>30+3</f>
        <v>33</v>
      </c>
      <c r="I10" s="3"/>
      <c r="J10" s="3">
        <f>Table3[[#This Row],[Column6]]+Table3[[#This Row],[Column5]]-Table3[[#This Row],[Column13]]</f>
        <v>30</v>
      </c>
      <c r="K10" s="3">
        <f>IF($B10="","",SUMIF(Transaksi!$D:$D,$B10,Transaksi!$E:$E)+IF($B10="das",SUMIFS(Transaksi!$E:$E,Transaksi!$B:$B,"Daster",Transaksi!$D:$D,""),0)+IF($B10="x7",SUMIFS(Transaksi!$E:$E,Transaksi!$B:$B,"Xseven",Transaksi!$D:$D,""),0))</f>
        <v>3</v>
      </c>
      <c r="L10" s="3">
        <f>Table3[[#This Row],[Column11]]+Table3[[#This Row],[Column19]]</f>
        <v>38</v>
      </c>
    </row>
    <row r="11" spans="1:16" x14ac:dyDescent="0.3">
      <c r="A11" s="5" t="s">
        <v>52</v>
      </c>
      <c r="B11" t="s">
        <v>13</v>
      </c>
      <c r="C11" s="1">
        <f>belanja!H12</f>
        <v>375000</v>
      </c>
      <c r="D11" s="1">
        <f t="shared" si="0"/>
        <v>31250</v>
      </c>
      <c r="E11" s="3">
        <f>belanja!E12*12</f>
        <v>6</v>
      </c>
      <c r="F11" s="3">
        <f>8+8</f>
        <v>16</v>
      </c>
      <c r="G11" s="3">
        <f>Table3[[#This Row],[Column10]]-Table3[[#This Row],[Column19]]</f>
        <v>8</v>
      </c>
      <c r="H11" s="3">
        <f>7+8</f>
        <v>15</v>
      </c>
      <c r="I11" s="3"/>
      <c r="J11" s="3">
        <f>Table3[[#This Row],[Column6]]+Table3[[#This Row],[Column5]]-Table3[[#This Row],[Column13]]</f>
        <v>8</v>
      </c>
      <c r="K11" s="3">
        <f>IF($B11="","",SUMIF(Transaksi!$D:$D,$B11,Transaksi!$E:$E)+IF($B11="das",SUMIFS(Transaksi!$E:$E,Transaksi!$B:$B,"Daster",Transaksi!$D:$D,""),0)+IF($B11="x7",SUMIFS(Transaksi!$E:$E,Transaksi!$B:$B,"Xseven",Transaksi!$D:$D,""),0))</f>
        <v>7</v>
      </c>
      <c r="L11" s="3">
        <f>Table3[[#This Row],[Column11]]+Table3[[#This Row],[Column19]]</f>
        <v>16</v>
      </c>
    </row>
    <row r="12" spans="1:16" x14ac:dyDescent="0.3">
      <c r="A12" s="5" t="s">
        <v>53</v>
      </c>
      <c r="B12" t="s">
        <v>25</v>
      </c>
      <c r="C12" s="1">
        <f>belanja!H13</f>
        <v>395000</v>
      </c>
      <c r="D12" s="1">
        <f t="shared" si="0"/>
        <v>32916.666666666664</v>
      </c>
      <c r="E12" s="3">
        <f>belanja!E13*12</f>
        <v>12</v>
      </c>
      <c r="F12" s="3">
        <v>14</v>
      </c>
      <c r="G12" s="3">
        <f>Table3[[#This Row],[Column10]]-Table3[[#This Row],[Column19]]</f>
        <v>6</v>
      </c>
      <c r="H12" s="3">
        <f>8+11</f>
        <v>19</v>
      </c>
      <c r="I12" s="3"/>
      <c r="J12" s="3">
        <f>Table3[[#This Row],[Column6]]+Table3[[#This Row],[Column5]]-Table3[[#This Row],[Column13]]</f>
        <v>8</v>
      </c>
      <c r="K12" s="3">
        <f>IF($B12="","",SUMIF(Transaksi!$D:$D,$B12,Transaksi!$E:$E)+IF($B12="das",SUMIFS(Transaksi!$E:$E,Transaksi!$B:$B,"Daster",Transaksi!$D:$D,""),0)+IF($B12="x7",SUMIFS(Transaksi!$E:$E,Transaksi!$B:$B,"Xseven",Transaksi!$D:$D,""),0))</f>
        <v>11</v>
      </c>
      <c r="L12" s="3">
        <f>Table3[[#This Row],[Column11]]+Table3[[#This Row],[Column19]]</f>
        <v>14</v>
      </c>
    </row>
    <row r="13" spans="1:16" x14ac:dyDescent="0.3">
      <c r="A13" s="5" t="s">
        <v>54</v>
      </c>
      <c r="B13" t="s">
        <v>16</v>
      </c>
      <c r="C13" s="1">
        <f>belanja!H14</f>
        <v>425000</v>
      </c>
      <c r="D13" s="1">
        <f t="shared" si="0"/>
        <v>35416.666666666664</v>
      </c>
      <c r="E13" s="3">
        <f>belanja!E14*12</f>
        <v>6</v>
      </c>
      <c r="F13" s="3">
        <v>13</v>
      </c>
      <c r="G13" s="3">
        <f>Table3[[#This Row],[Column10]]-Table3[[#This Row],[Column19]]</f>
        <v>9</v>
      </c>
      <c r="H13" s="3">
        <f>7+13</f>
        <v>20</v>
      </c>
      <c r="I13" s="3"/>
      <c r="J13" s="3">
        <f>Table3[[#This Row],[Column6]]+Table3[[#This Row],[Column5]]-Table3[[#This Row],[Column13]]</f>
        <v>4</v>
      </c>
      <c r="K13" s="3">
        <f>IF($B13="","",SUMIF(Transaksi!$D:$D,$B13,Transaksi!$E:$E)+IF($B13="das",SUMIFS(Transaksi!$E:$E,Transaksi!$B:$B,"Daster",Transaksi!$D:$D,""),0)+IF($B13="x7",SUMIFS(Transaksi!$E:$E,Transaksi!$B:$B,"Xseven",Transaksi!$D:$D,""),0))</f>
        <v>16</v>
      </c>
      <c r="L13" s="3">
        <f>Table3[[#This Row],[Column11]]+Table3[[#This Row],[Column19]]</f>
        <v>13</v>
      </c>
    </row>
    <row r="14" spans="1:16" x14ac:dyDescent="0.3">
      <c r="A14" s="5" t="s">
        <v>55</v>
      </c>
      <c r="B14" t="s">
        <v>26</v>
      </c>
      <c r="C14" s="1">
        <f>belanja!H15</f>
        <v>480000</v>
      </c>
      <c r="D14" s="1">
        <f t="shared" si="0"/>
        <v>40000</v>
      </c>
      <c r="E14" s="3">
        <f>belanja!E15*12</f>
        <v>6</v>
      </c>
      <c r="F14" s="3">
        <v>14</v>
      </c>
      <c r="G14" s="3">
        <f>Table3[[#This Row],[Column10]]-Table3[[#This Row],[Column19]]</f>
        <v>6</v>
      </c>
      <c r="H14" s="3">
        <f>8+6</f>
        <v>14</v>
      </c>
      <c r="I14" s="3"/>
      <c r="J14" s="3">
        <f>Table3[[#This Row],[Column6]]+Table3[[#This Row],[Column5]]-Table3[[#This Row],[Column13]]</f>
        <v>8</v>
      </c>
      <c r="K14" s="3">
        <f>IF($B14="","",SUMIF(Transaksi!$D:$D,$B14,Transaksi!$E:$E)+IF($B14="das",SUMIFS(Transaksi!$E:$E,Transaksi!$B:$B,"Daster",Transaksi!$D:$D,""),0)+IF($B14="x7",SUMIFS(Transaksi!$E:$E,Transaksi!$B:$B,"Xseven",Transaksi!$D:$D,""),0))</f>
        <v>6</v>
      </c>
      <c r="L14" s="3">
        <f>Table3[[#This Row],[Column11]]+Table3[[#This Row],[Column19]]</f>
        <v>14</v>
      </c>
    </row>
    <row r="15" spans="1:16" x14ac:dyDescent="0.3">
      <c r="A15" t="s">
        <v>27</v>
      </c>
      <c r="B15" t="s">
        <v>21</v>
      </c>
      <c r="C15" s="1">
        <v>420000</v>
      </c>
      <c r="D15" s="1">
        <f t="shared" si="0"/>
        <v>35000</v>
      </c>
      <c r="E15" s="3">
        <f>belanja!E16*12</f>
        <v>0</v>
      </c>
      <c r="F15" s="3">
        <v>14</v>
      </c>
      <c r="G15" s="3">
        <f>Table3[[#This Row],[Column10]]-Table3[[#This Row],[Column19]]</f>
        <v>4</v>
      </c>
      <c r="H15" s="3">
        <f>14+14</f>
        <v>28</v>
      </c>
      <c r="I15" s="3"/>
      <c r="J15" s="3">
        <f>Table3[[#This Row],[Column6]]+Table3[[#This Row],[Column5]]-Table3[[#This Row],[Column13]]</f>
        <v>10</v>
      </c>
      <c r="K15" s="3">
        <f>IF($B15="","",SUMIF(Transaksi!$D:$D,$B15,Transaksi!$E:$E)+IF($B15="das",SUMIFS(Transaksi!$E:$E,Transaksi!$B:$B,"Daster",Transaksi!$D:$D,""),0)+IF($B15="x7",SUMIFS(Transaksi!$E:$E,Transaksi!$B:$B,"Xseven",Transaksi!$D:$D,""),0))</f>
        <v>18</v>
      </c>
      <c r="L15" s="3">
        <f>Table3[[#This Row],[Column11]]+Table3[[#This Row],[Column19]]</f>
        <v>14</v>
      </c>
    </row>
    <row r="16" spans="1:16" x14ac:dyDescent="0.3">
      <c r="A16" t="s">
        <v>33</v>
      </c>
      <c r="B16" t="s">
        <v>35</v>
      </c>
      <c r="C16" s="1">
        <v>650000</v>
      </c>
      <c r="D16" s="1">
        <f>C16/20</f>
        <v>32500</v>
      </c>
      <c r="E16" s="3">
        <f>belanja!D17*12</f>
        <v>0</v>
      </c>
      <c r="F16" s="3">
        <v>3</v>
      </c>
      <c r="G16" s="3">
        <f>Table3[[#This Row],[Column10]]-Table3[[#This Row],[Column19]]</f>
        <v>0</v>
      </c>
      <c r="H16" s="3">
        <f>3+6</f>
        <v>9</v>
      </c>
      <c r="I16" s="3"/>
      <c r="J16" s="3">
        <f>Table3[[#This Row],[Column6]]+Table3[[#This Row],[Column5]]-Table3[[#This Row],[Column13]]</f>
        <v>3</v>
      </c>
      <c r="K16" s="3">
        <f>IF($B16="","",SUMIF(Transaksi!$D:$D,$B16,Transaksi!$E:$E)+IF($B16="das",SUMIFS(Transaksi!$E:$E,Transaksi!$B:$B,"Daster",Transaksi!$D:$D,""),0)+IF($B16="x7",SUMIFS(Transaksi!$E:$E,Transaksi!$B:$B,"Xseven",Transaksi!$D:$D,""),0))</f>
        <v>6</v>
      </c>
      <c r="L16" s="3">
        <f>Table3[[#This Row],[Column11]]+Table3[[#This Row],[Column19]]</f>
        <v>3</v>
      </c>
    </row>
    <row r="24" spans="6:6" x14ac:dyDescent="0.3">
      <c r="F24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A5829-7832-4856-9916-767C20BC2B2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C4023-A773-464A-98AB-5D7F3B6F309B}">
  <dimension ref="A1:K17"/>
  <sheetViews>
    <sheetView workbookViewId="0">
      <selection activeCell="H2" sqref="H2"/>
    </sheetView>
  </sheetViews>
  <sheetFormatPr defaultRowHeight="14.4" x14ac:dyDescent="0.3"/>
  <cols>
    <col min="1" max="1" width="12.44140625" bestFit="1" customWidth="1"/>
    <col min="2" max="2" width="4.88671875" bestFit="1" customWidth="1"/>
    <col min="3" max="3" width="15.21875" bestFit="1" customWidth="1"/>
    <col min="4" max="4" width="12.109375" bestFit="1" customWidth="1"/>
    <col min="5" max="5" width="12.88671875" bestFit="1" customWidth="1"/>
    <col min="6" max="6" width="18.21875" bestFit="1" customWidth="1"/>
    <col min="7" max="7" width="16.5546875" bestFit="1" customWidth="1"/>
    <col min="8" max="8" width="11" bestFit="1" customWidth="1"/>
    <col min="9" max="11" width="12.5546875" bestFit="1" customWidth="1"/>
  </cols>
  <sheetData>
    <row r="1" spans="1:11" x14ac:dyDescent="0.3">
      <c r="A1" s="28" t="s">
        <v>58</v>
      </c>
      <c r="B1" s="29"/>
      <c r="C1" s="29"/>
      <c r="D1" s="29"/>
      <c r="E1" s="29"/>
      <c r="F1" s="29"/>
      <c r="G1" s="29"/>
      <c r="H1" s="29"/>
      <c r="I1" s="29"/>
    </row>
    <row r="2" spans="1:11" x14ac:dyDescent="0.3">
      <c r="A2" s="6" t="s">
        <v>74</v>
      </c>
      <c r="B2" s="6" t="s">
        <v>56</v>
      </c>
      <c r="C2" s="6" t="s">
        <v>75</v>
      </c>
      <c r="D2" s="6" t="s">
        <v>76</v>
      </c>
      <c r="E2" s="6" t="s">
        <v>77</v>
      </c>
      <c r="F2" s="6" t="s">
        <v>78</v>
      </c>
      <c r="G2" s="6" t="s">
        <v>79</v>
      </c>
      <c r="H2" s="6" t="s">
        <v>80</v>
      </c>
      <c r="I2" s="6" t="s">
        <v>81</v>
      </c>
      <c r="J2" s="6" t="s">
        <v>82</v>
      </c>
    </row>
    <row r="3" spans="1:11" x14ac:dyDescent="0.3">
      <c r="A3" s="5" t="s">
        <v>43</v>
      </c>
      <c r="B3" t="s">
        <v>8</v>
      </c>
      <c r="C3" s="1">
        <v>245000</v>
      </c>
      <c r="D3" s="1">
        <f>E3*C3</f>
        <v>490000</v>
      </c>
      <c r="E3">
        <v>2</v>
      </c>
      <c r="F3">
        <f t="shared" ref="F3:F16" si="0">E3*12</f>
        <v>24</v>
      </c>
      <c r="G3" s="3">
        <f>F3+Stok_Baju!L2</f>
        <v>58</v>
      </c>
      <c r="H3" s="1">
        <f t="shared" ref="H3:H15" si="1">C3+15000</f>
        <v>260000</v>
      </c>
      <c r="I3" s="1">
        <f t="shared" ref="I3:I15" si="2">H3*E3</f>
        <v>520000</v>
      </c>
      <c r="J3" s="1">
        <f>SUM(I3:I16)</f>
        <v>3740000</v>
      </c>
      <c r="K3" s="1"/>
    </row>
    <row r="4" spans="1:11" x14ac:dyDescent="0.3">
      <c r="A4" s="5" t="s">
        <v>44</v>
      </c>
      <c r="B4" t="s">
        <v>10</v>
      </c>
      <c r="C4" s="1">
        <v>260000</v>
      </c>
      <c r="D4" s="1">
        <f t="shared" ref="D4:D17" si="3">E4*C4</f>
        <v>520000</v>
      </c>
      <c r="E4">
        <v>2</v>
      </c>
      <c r="F4">
        <f t="shared" si="0"/>
        <v>24</v>
      </c>
      <c r="G4" s="3">
        <f>F4+Stok_Baju!L3</f>
        <v>61</v>
      </c>
      <c r="H4" s="1">
        <f t="shared" si="1"/>
        <v>275000</v>
      </c>
      <c r="I4" s="1">
        <f t="shared" si="2"/>
        <v>550000</v>
      </c>
    </row>
    <row r="5" spans="1:11" x14ac:dyDescent="0.3">
      <c r="A5" s="5" t="s">
        <v>45</v>
      </c>
      <c r="B5" t="s">
        <v>14</v>
      </c>
      <c r="C5" s="1">
        <v>270000</v>
      </c>
      <c r="D5" s="1">
        <f t="shared" si="3"/>
        <v>540000</v>
      </c>
      <c r="E5">
        <v>2</v>
      </c>
      <c r="F5">
        <f t="shared" si="0"/>
        <v>24</v>
      </c>
      <c r="G5" s="3">
        <f>F5+Stok_Baju!L4</f>
        <v>64</v>
      </c>
      <c r="H5" s="1">
        <f t="shared" si="1"/>
        <v>285000</v>
      </c>
      <c r="I5" s="1">
        <f t="shared" si="2"/>
        <v>570000</v>
      </c>
    </row>
    <row r="6" spans="1:11" x14ac:dyDescent="0.3">
      <c r="A6" s="5" t="s">
        <v>46</v>
      </c>
      <c r="B6" t="s">
        <v>17</v>
      </c>
      <c r="C6" s="1">
        <v>290000</v>
      </c>
      <c r="D6" s="1">
        <f t="shared" si="3"/>
        <v>580000</v>
      </c>
      <c r="E6">
        <v>2</v>
      </c>
      <c r="F6">
        <f t="shared" si="0"/>
        <v>24</v>
      </c>
      <c r="G6" s="3">
        <f>F6+Stok_Baju!L5</f>
        <v>50</v>
      </c>
      <c r="H6" s="1">
        <f t="shared" si="1"/>
        <v>305000</v>
      </c>
      <c r="I6" s="1">
        <f t="shared" si="2"/>
        <v>610000</v>
      </c>
    </row>
    <row r="7" spans="1:11" x14ac:dyDescent="0.3">
      <c r="A7" s="5" t="s">
        <v>47</v>
      </c>
      <c r="B7" t="s">
        <v>19</v>
      </c>
      <c r="C7" s="1">
        <v>190000</v>
      </c>
      <c r="D7" s="1">
        <f t="shared" si="3"/>
        <v>0</v>
      </c>
      <c r="E7">
        <v>0</v>
      </c>
      <c r="F7">
        <f t="shared" si="0"/>
        <v>0</v>
      </c>
      <c r="G7" s="3">
        <f>F7+Stok_Baju!L6</f>
        <v>32</v>
      </c>
      <c r="H7" s="1">
        <f t="shared" si="1"/>
        <v>205000</v>
      </c>
      <c r="I7" s="1">
        <f t="shared" si="2"/>
        <v>0</v>
      </c>
    </row>
    <row r="8" spans="1:11" x14ac:dyDescent="0.3">
      <c r="A8" s="5" t="s">
        <v>48</v>
      </c>
      <c r="B8" t="s">
        <v>22</v>
      </c>
      <c r="C8" s="1">
        <v>205000</v>
      </c>
      <c r="D8" s="1">
        <f t="shared" si="3"/>
        <v>205000</v>
      </c>
      <c r="E8">
        <v>1</v>
      </c>
      <c r="F8">
        <f t="shared" si="0"/>
        <v>12</v>
      </c>
      <c r="G8" s="3">
        <f>F8+Stok_Baju!L7</f>
        <v>53</v>
      </c>
      <c r="H8" s="1">
        <f t="shared" si="1"/>
        <v>220000</v>
      </c>
      <c r="I8" s="1">
        <f t="shared" si="2"/>
        <v>220000</v>
      </c>
    </row>
    <row r="9" spans="1:11" x14ac:dyDescent="0.3">
      <c r="A9" s="5" t="s">
        <v>49</v>
      </c>
      <c r="B9" t="s">
        <v>23</v>
      </c>
      <c r="C9" s="1">
        <v>220000</v>
      </c>
      <c r="D9" s="1">
        <f t="shared" si="3"/>
        <v>220000</v>
      </c>
      <c r="E9">
        <v>1</v>
      </c>
      <c r="F9">
        <f t="shared" si="0"/>
        <v>12</v>
      </c>
      <c r="G9" s="3">
        <f>F9+Stok_Baju!L8</f>
        <v>55</v>
      </c>
      <c r="H9" s="1">
        <f t="shared" si="1"/>
        <v>235000</v>
      </c>
      <c r="I9" s="1">
        <f t="shared" si="2"/>
        <v>235000</v>
      </c>
    </row>
    <row r="10" spans="1:11" x14ac:dyDescent="0.3">
      <c r="A10" s="5" t="s">
        <v>50</v>
      </c>
      <c r="B10" t="s">
        <v>7</v>
      </c>
      <c r="C10" s="1">
        <v>235000</v>
      </c>
      <c r="D10" s="1">
        <f t="shared" si="3"/>
        <v>0</v>
      </c>
      <c r="E10">
        <v>0</v>
      </c>
      <c r="F10">
        <f t="shared" si="0"/>
        <v>0</v>
      </c>
      <c r="G10" s="3">
        <f>F10+Stok_Baju!L9</f>
        <v>41</v>
      </c>
      <c r="H10" s="1">
        <f t="shared" si="1"/>
        <v>250000</v>
      </c>
      <c r="I10" s="1">
        <f t="shared" si="2"/>
        <v>0</v>
      </c>
    </row>
    <row r="11" spans="1:11" x14ac:dyDescent="0.3">
      <c r="A11" s="5" t="s">
        <v>51</v>
      </c>
      <c r="B11" t="s">
        <v>24</v>
      </c>
      <c r="C11" s="1">
        <v>275000</v>
      </c>
      <c r="D11" s="1">
        <f t="shared" si="3"/>
        <v>0</v>
      </c>
      <c r="E11">
        <v>0</v>
      </c>
      <c r="F11">
        <f t="shared" si="0"/>
        <v>0</v>
      </c>
      <c r="G11" s="3">
        <f>F11+Stok_Baju!L10</f>
        <v>38</v>
      </c>
      <c r="H11" s="1">
        <f t="shared" si="1"/>
        <v>290000</v>
      </c>
      <c r="I11" s="1">
        <f t="shared" si="2"/>
        <v>0</v>
      </c>
    </row>
    <row r="12" spans="1:11" x14ac:dyDescent="0.3">
      <c r="A12" s="5" t="s">
        <v>52</v>
      </c>
      <c r="B12" t="s">
        <v>13</v>
      </c>
      <c r="C12" s="1">
        <v>360000</v>
      </c>
      <c r="D12" s="1">
        <f t="shared" si="3"/>
        <v>180000</v>
      </c>
      <c r="E12">
        <v>0.5</v>
      </c>
      <c r="F12">
        <f t="shared" si="0"/>
        <v>6</v>
      </c>
      <c r="G12" s="3">
        <f>F12+Stok_Baju!L11</f>
        <v>22</v>
      </c>
      <c r="H12" s="1">
        <f t="shared" si="1"/>
        <v>375000</v>
      </c>
      <c r="I12" s="1">
        <f t="shared" si="2"/>
        <v>187500</v>
      </c>
    </row>
    <row r="13" spans="1:11" x14ac:dyDescent="0.3">
      <c r="A13" s="5" t="s">
        <v>53</v>
      </c>
      <c r="B13" t="s">
        <v>25</v>
      </c>
      <c r="C13" s="1">
        <v>380000</v>
      </c>
      <c r="D13" s="1">
        <f t="shared" si="3"/>
        <v>380000</v>
      </c>
      <c r="E13">
        <v>1</v>
      </c>
      <c r="F13">
        <f t="shared" si="0"/>
        <v>12</v>
      </c>
      <c r="G13" s="3">
        <f>F13+Stok_Baju!L12</f>
        <v>26</v>
      </c>
      <c r="H13" s="1">
        <f t="shared" si="1"/>
        <v>395000</v>
      </c>
      <c r="I13" s="1">
        <f t="shared" si="2"/>
        <v>395000</v>
      </c>
    </row>
    <row r="14" spans="1:11" x14ac:dyDescent="0.3">
      <c r="A14" s="5" t="s">
        <v>54</v>
      </c>
      <c r="B14" t="s">
        <v>16</v>
      </c>
      <c r="C14" s="1">
        <v>410000</v>
      </c>
      <c r="D14" s="1">
        <f t="shared" si="3"/>
        <v>205000</v>
      </c>
      <c r="E14">
        <v>0.5</v>
      </c>
      <c r="F14">
        <f t="shared" si="0"/>
        <v>6</v>
      </c>
      <c r="G14" s="3">
        <f>F14+Stok_Baju!L13</f>
        <v>19</v>
      </c>
      <c r="H14" s="1">
        <f t="shared" si="1"/>
        <v>425000</v>
      </c>
      <c r="I14" s="1">
        <f t="shared" si="2"/>
        <v>212500</v>
      </c>
    </row>
    <row r="15" spans="1:11" x14ac:dyDescent="0.3">
      <c r="A15" s="5" t="s">
        <v>55</v>
      </c>
      <c r="B15" t="s">
        <v>26</v>
      </c>
      <c r="C15" s="1">
        <v>465000</v>
      </c>
      <c r="D15" s="1">
        <f t="shared" si="3"/>
        <v>232500</v>
      </c>
      <c r="E15">
        <v>0.5</v>
      </c>
      <c r="F15">
        <f t="shared" si="0"/>
        <v>6</v>
      </c>
      <c r="G15" s="3">
        <f>F15+Stok_Baju!L14</f>
        <v>20</v>
      </c>
      <c r="H15" s="1">
        <f t="shared" si="1"/>
        <v>480000</v>
      </c>
      <c r="I15" s="1">
        <f t="shared" si="2"/>
        <v>240000</v>
      </c>
    </row>
    <row r="16" spans="1:11" x14ac:dyDescent="0.3">
      <c r="A16" t="s">
        <v>27</v>
      </c>
      <c r="B16" t="s">
        <v>21</v>
      </c>
      <c r="C16" s="1">
        <v>420000</v>
      </c>
      <c r="D16" s="1">
        <f t="shared" si="3"/>
        <v>0</v>
      </c>
      <c r="E16">
        <v>0</v>
      </c>
      <c r="F16">
        <f t="shared" si="0"/>
        <v>0</v>
      </c>
      <c r="G16" s="3">
        <f>F16+Stok_Baju!L15</f>
        <v>14</v>
      </c>
      <c r="I16" s="1">
        <f>(C16*E16)+(15000*E16)</f>
        <v>0</v>
      </c>
    </row>
    <row r="17" spans="1:6" x14ac:dyDescent="0.3">
      <c r="A17" t="s">
        <v>33</v>
      </c>
      <c r="B17" t="s">
        <v>35</v>
      </c>
      <c r="C17" s="1">
        <v>650000</v>
      </c>
      <c r="D17" s="1">
        <f t="shared" si="3"/>
        <v>0</v>
      </c>
      <c r="F17" s="3" t="e">
        <f>E17+Stok_Baju!#REF!</f>
        <v>#REF!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Transaksi</vt:lpstr>
      <vt:lpstr>Stok_Baju</vt:lpstr>
      <vt:lpstr>Dashboard</vt:lpstr>
      <vt:lpstr>belanja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Efrian</dc:creator>
  <cp:lastModifiedBy>ahmadefriansirojulalam</cp:lastModifiedBy>
  <dcterms:created xsi:type="dcterms:W3CDTF">2026-05-02T10:58:14Z</dcterms:created>
  <dcterms:modified xsi:type="dcterms:W3CDTF">2026-05-21T13:46:07Z</dcterms:modified>
</cp:coreProperties>
</file>